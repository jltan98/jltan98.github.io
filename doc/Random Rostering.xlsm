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mu-my.sharepoint.com/personal/jialeng_tan_2019_scis_smu_edu_sg/Documents/Documents/GitHub/jltan98.github.io/doc/"/>
    </mc:Choice>
  </mc:AlternateContent>
  <xr:revisionPtr revIDLastSave="37837" documentId="8_{6FC1654D-22B8-4D2B-9DF5-95D051F4C3C7}" xr6:coauthVersionLast="47" xr6:coauthVersionMax="47" xr10:uidLastSave="{C8B4DF40-5146-42F2-B046-BD88B64A9F6E}"/>
  <bookViews>
    <workbookView xWindow="-90" yWindow="-90" windowWidth="19380" windowHeight="10380" tabRatio="722" xr2:uid="{E60DA2F5-3E79-4299-9B8F-80214068A824}"/>
  </bookViews>
  <sheets>
    <sheet name="Roster" sheetId="5" r:id="rId1"/>
    <sheet name="StaffAvailability" sheetId="4" state="hidden" r:id="rId2"/>
    <sheet name="Leave Planner" sheetId="1" state="hidden" r:id="rId3"/>
    <sheet name="Update Competency" sheetId="6" state="hidden" r:id="rId4"/>
  </sheets>
  <definedNames>
    <definedName name="solver_adj" localSheetId="0" hidden="1">Roster!#REF!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Roster!$F$20:$AI$20</definedName>
    <definedName name="solver_lhs2" localSheetId="0" hidden="1">Roster!$F$21:$AI$21</definedName>
    <definedName name="solver_lhs3" localSheetId="0" hidden="1">Roster!$F$21:$AI$21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Roster!$G$5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hs1" localSheetId="0" hidden="1">1</definedName>
    <definedName name="solver_rhs2" localSheetId="0" hidden="1">1</definedName>
    <definedName name="solver_rhs3" localSheetId="0" hidden="1">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27" i="5" l="1"/>
  <c r="T27" i="5"/>
  <c r="U27" i="5"/>
  <c r="V27" i="5"/>
  <c r="W27" i="5"/>
  <c r="X27" i="5"/>
  <c r="Y27" i="5"/>
  <c r="Z27" i="5"/>
  <c r="AA27" i="5"/>
  <c r="AH27" i="5"/>
  <c r="L28" i="5"/>
  <c r="M28" i="5"/>
  <c r="T28" i="5"/>
  <c r="AA28" i="5"/>
  <c r="AH28" i="5"/>
  <c r="M29" i="5"/>
  <c r="T29" i="5"/>
  <c r="AA29" i="5"/>
  <c r="AH29" i="5"/>
  <c r="AI29" i="5"/>
  <c r="M30" i="5"/>
  <c r="T30" i="5"/>
  <c r="AA30" i="5"/>
  <c r="AB30" i="5"/>
  <c r="AH30" i="5"/>
  <c r="G31" i="5"/>
  <c r="M31" i="5"/>
  <c r="T31" i="5"/>
  <c r="AA31" i="5"/>
  <c r="AH31" i="5"/>
  <c r="M32" i="5"/>
  <c r="T32" i="5"/>
  <c r="W32" i="5"/>
  <c r="AA32" i="5"/>
  <c r="AH32" i="5"/>
  <c r="M33" i="5"/>
  <c r="S33" i="5"/>
  <c r="T33" i="5"/>
  <c r="AA33" i="5"/>
  <c r="AH33" i="5"/>
  <c r="M34" i="5"/>
  <c r="T34" i="5"/>
  <c r="AA34" i="5"/>
  <c r="AG34" i="5"/>
  <c r="AH34" i="5"/>
  <c r="M35" i="5"/>
  <c r="T35" i="5"/>
  <c r="AA35" i="5"/>
  <c r="AB35" i="5"/>
  <c r="AH35" i="5"/>
  <c r="M36" i="5"/>
  <c r="T36" i="5"/>
  <c r="AA36" i="5"/>
  <c r="AH36" i="5"/>
  <c r="M37" i="5"/>
  <c r="T37" i="5"/>
  <c r="AA37" i="5"/>
  <c r="AH37" i="5"/>
  <c r="M38" i="5"/>
  <c r="N38" i="5"/>
  <c r="O38" i="5"/>
  <c r="P38" i="5"/>
  <c r="T38" i="5"/>
  <c r="AA38" i="5"/>
  <c r="AH38" i="5"/>
  <c r="M39" i="5"/>
  <c r="T39" i="5"/>
  <c r="AA39" i="5"/>
  <c r="AH39" i="5"/>
  <c r="M40" i="5"/>
  <c r="T40" i="5"/>
  <c r="AA40" i="5"/>
  <c r="AE40" i="5"/>
  <c r="AH40" i="5"/>
  <c r="M41" i="5"/>
  <c r="T41" i="5"/>
  <c r="AA41" i="5"/>
  <c r="AH41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27" i="5"/>
  <c r="J5" i="5"/>
  <c r="N23" i="5"/>
  <c r="O23" i="5"/>
  <c r="P23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G23" i="5"/>
  <c r="H23" i="5"/>
  <c r="I23" i="5"/>
  <c r="J23" i="5"/>
  <c r="K23" i="5"/>
  <c r="L23" i="5"/>
  <c r="M23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F23" i="5"/>
  <c r="K14" i="5" l="1"/>
  <c r="N14" i="5"/>
  <c r="S16" i="5"/>
  <c r="V14" i="5"/>
  <c r="AA14" i="5"/>
  <c r="I18" i="5"/>
  <c r="Q14" i="5"/>
  <c r="Y14" i="5"/>
  <c r="AG14" i="5"/>
  <c r="L19" i="5"/>
  <c r="AB17" i="5"/>
  <c r="G15" i="5"/>
  <c r="AE17" i="5"/>
  <c r="J14" i="5"/>
  <c r="Z14" i="5"/>
  <c r="AH14" i="5"/>
  <c r="M14" i="5"/>
  <c r="AC17" i="5"/>
  <c r="H14" i="5"/>
  <c r="X14" i="5"/>
  <c r="AF15" i="5"/>
  <c r="P14" i="5"/>
  <c r="AD14" i="5"/>
  <c r="W17" i="5"/>
  <c r="R14" i="5"/>
  <c r="F4" i="5"/>
  <c r="U14" i="5"/>
  <c r="AI14" i="5"/>
  <c r="T14" i="5"/>
  <c r="O14" i="5"/>
  <c r="G25" i="5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L14" i="5" l="1"/>
  <c r="J15" i="5"/>
  <c r="G14" i="5"/>
  <c r="I14" i="5"/>
  <c r="U16" i="5"/>
  <c r="S14" i="5"/>
  <c r="R15" i="5"/>
  <c r="M16" i="5"/>
  <c r="F14" i="5"/>
  <c r="AD15" i="5"/>
  <c r="O17" i="5"/>
  <c r="AB14" i="5"/>
  <c r="K16" i="5"/>
  <c r="AE14" i="5"/>
  <c r="W14" i="5"/>
  <c r="V15" i="5"/>
  <c r="AI16" i="5"/>
  <c r="X15" i="5"/>
  <c r="T19" i="5"/>
  <c r="AC14" i="5"/>
  <c r="AH15" i="5"/>
  <c r="AG18" i="5"/>
  <c r="AA16" i="5"/>
  <c r="P15" i="5"/>
  <c r="Y18" i="5"/>
  <c r="Z15" i="5"/>
  <c r="Q18" i="5"/>
  <c r="H15" i="5"/>
  <c r="AF14" i="5"/>
  <c r="N16" i="5"/>
  <c r="AC15" i="5"/>
  <c r="AC19" i="5"/>
  <c r="L16" i="5"/>
  <c r="V16" i="5"/>
  <c r="U17" i="5"/>
  <c r="N15" i="5"/>
  <c r="U19" i="5"/>
  <c r="M17" i="5"/>
  <c r="Y15" i="5"/>
  <c r="AG15" i="5"/>
  <c r="M19" i="5"/>
  <c r="AG16" i="5"/>
  <c r="Q19" i="5"/>
  <c r="T16" i="5"/>
  <c r="AB16" i="5"/>
  <c r="Y16" i="5"/>
  <c r="I15" i="5"/>
  <c r="Q16" i="5"/>
  <c r="AD16" i="5"/>
  <c r="I16" i="5"/>
  <c r="X18" i="5"/>
  <c r="AF16" i="5"/>
  <c r="M15" i="5"/>
  <c r="AE19" i="5"/>
  <c r="W19" i="5"/>
  <c r="AI18" i="5"/>
  <c r="S18" i="5"/>
  <c r="AD19" i="5"/>
  <c r="V19" i="5"/>
  <c r="N19" i="5"/>
  <c r="AH18" i="5"/>
  <c r="Z18" i="5"/>
  <c r="R18" i="5"/>
  <c r="J18" i="5"/>
  <c r="AD17" i="5"/>
  <c r="V17" i="5"/>
  <c r="N17" i="5"/>
  <c r="AH16" i="5"/>
  <c r="Z16" i="5"/>
  <c r="R16" i="5"/>
  <c r="J16" i="5"/>
  <c r="AE15" i="5"/>
  <c r="W15" i="5"/>
  <c r="O15" i="5"/>
  <c r="AB19" i="5"/>
  <c r="T17" i="5"/>
  <c r="U15" i="5"/>
  <c r="S19" i="5"/>
  <c r="AE18" i="5"/>
  <c r="O18" i="5"/>
  <c r="AI17" i="5"/>
  <c r="AA17" i="5"/>
  <c r="S17" i="5"/>
  <c r="K17" i="5"/>
  <c r="AE16" i="5"/>
  <c r="W16" i="5"/>
  <c r="O16" i="5"/>
  <c r="G16" i="5"/>
  <c r="AB15" i="5"/>
  <c r="T15" i="5"/>
  <c r="L15" i="5"/>
  <c r="AF18" i="5"/>
  <c r="L17" i="5"/>
  <c r="H16" i="5"/>
  <c r="AI19" i="5"/>
  <c r="AA19" i="5"/>
  <c r="K19" i="5"/>
  <c r="W18" i="5"/>
  <c r="AH19" i="5"/>
  <c r="Z19" i="5"/>
  <c r="R19" i="5"/>
  <c r="J19" i="5"/>
  <c r="AD18" i="5"/>
  <c r="V18" i="5"/>
  <c r="N18" i="5"/>
  <c r="AH17" i="5"/>
  <c r="Z17" i="5"/>
  <c r="R17" i="5"/>
  <c r="J17" i="5"/>
  <c r="AI15" i="5"/>
  <c r="AA15" i="5"/>
  <c r="S15" i="5"/>
  <c r="K15" i="5"/>
  <c r="G18" i="5"/>
  <c r="H18" i="5"/>
  <c r="P16" i="5"/>
  <c r="AG19" i="5"/>
  <c r="I19" i="5"/>
  <c r="AC18" i="5"/>
  <c r="U18" i="5"/>
  <c r="M18" i="5"/>
  <c r="AG17" i="5"/>
  <c r="Y17" i="5"/>
  <c r="Q17" i="5"/>
  <c r="I17" i="5"/>
  <c r="AC16" i="5"/>
  <c r="P18" i="5"/>
  <c r="X16" i="5"/>
  <c r="Y19" i="5"/>
  <c r="AF19" i="5"/>
  <c r="X19" i="5"/>
  <c r="P19" i="5"/>
  <c r="H19" i="5"/>
  <c r="AB18" i="5"/>
  <c r="T18" i="5"/>
  <c r="L18" i="5"/>
  <c r="AF17" i="5"/>
  <c r="X17" i="5"/>
  <c r="P17" i="5"/>
  <c r="H17" i="5"/>
  <c r="Q15" i="5"/>
  <c r="O19" i="5"/>
  <c r="AA18" i="5"/>
  <c r="K18" i="5"/>
  <c r="G19" i="5"/>
  <c r="G17" i="5"/>
  <c r="G22" i="5"/>
  <c r="G11" i="4"/>
  <c r="F19" i="5"/>
  <c r="F15" i="5"/>
  <c r="F17" i="5"/>
  <c r="F16" i="5"/>
  <c r="F18" i="5"/>
  <c r="F25" i="5"/>
  <c r="F22" i="5" s="1"/>
  <c r="AI25" i="5"/>
  <c r="AI22" i="5" s="1"/>
  <c r="AH25" i="5"/>
  <c r="AH22" i="5" s="1"/>
  <c r="AG25" i="5"/>
  <c r="AG22" i="5" s="1"/>
  <c r="AF25" i="5"/>
  <c r="AF22" i="5" s="1"/>
  <c r="AE25" i="5"/>
  <c r="AE22" i="5" s="1"/>
  <c r="AD25" i="5"/>
  <c r="AD22" i="5" s="1"/>
  <c r="AC25" i="5"/>
  <c r="AC22" i="5" s="1"/>
  <c r="AB25" i="5"/>
  <c r="AB22" i="5" s="1"/>
  <c r="AA25" i="5"/>
  <c r="AA22" i="5" s="1"/>
  <c r="Z25" i="5"/>
  <c r="Z22" i="5" s="1"/>
  <c r="Y25" i="5"/>
  <c r="Y22" i="5" s="1"/>
  <c r="X25" i="5"/>
  <c r="X22" i="5" s="1"/>
  <c r="W25" i="5"/>
  <c r="W22" i="5" s="1"/>
  <c r="V25" i="5"/>
  <c r="V22" i="5" s="1"/>
  <c r="U25" i="5"/>
  <c r="U22" i="5" s="1"/>
  <c r="T25" i="5"/>
  <c r="T22" i="5" s="1"/>
  <c r="S25" i="5"/>
  <c r="S22" i="5" s="1"/>
  <c r="R25" i="5"/>
  <c r="R22" i="5" s="1"/>
  <c r="Q25" i="5"/>
  <c r="Q22" i="5" s="1"/>
  <c r="P25" i="5"/>
  <c r="P22" i="5" s="1"/>
  <c r="O25" i="5"/>
  <c r="O22" i="5" s="1"/>
  <c r="N25" i="5"/>
  <c r="N22" i="5" s="1"/>
  <c r="M25" i="5"/>
  <c r="M22" i="5" s="1"/>
  <c r="L25" i="5"/>
  <c r="L22" i="5" s="1"/>
  <c r="K25" i="5"/>
  <c r="K22" i="5" s="1"/>
  <c r="J25" i="5"/>
  <c r="J22" i="5" s="1"/>
  <c r="I25" i="5"/>
  <c r="I22" i="5" s="1"/>
  <c r="H25" i="5"/>
  <c r="H22" i="5" s="1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14" i="4"/>
  <c r="C5" i="5"/>
  <c r="D5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F11" i="4"/>
  <c r="AJ11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T21" i="5" s="1"/>
  <c r="U10" i="4"/>
  <c r="V10" i="4"/>
  <c r="W10" i="4"/>
  <c r="X10" i="4"/>
  <c r="Y10" i="4"/>
  <c r="Z10" i="4"/>
  <c r="AA10" i="4"/>
  <c r="AA21" i="5" s="1"/>
  <c r="AB10" i="4"/>
  <c r="AC10" i="4"/>
  <c r="AD10" i="4"/>
  <c r="AE10" i="4"/>
  <c r="AF10" i="4"/>
  <c r="AG10" i="4"/>
  <c r="AH10" i="4"/>
  <c r="AH21" i="5" s="1"/>
  <c r="AI10" i="4"/>
  <c r="AJ10" i="4"/>
  <c r="F10" i="4"/>
  <c r="F24" i="5" s="1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AD64" i="4"/>
  <c r="AE64" i="4"/>
  <c r="AF64" i="4"/>
  <c r="AG64" i="4"/>
  <c r="AH64" i="4"/>
  <c r="AI64" i="4"/>
  <c r="AJ64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AD67" i="4"/>
  <c r="AE67" i="4"/>
  <c r="AF67" i="4"/>
  <c r="AG67" i="4"/>
  <c r="AH67" i="4"/>
  <c r="AI67" i="4"/>
  <c r="AJ67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AD69" i="4"/>
  <c r="AE69" i="4"/>
  <c r="AF69" i="4"/>
  <c r="AG69" i="4"/>
  <c r="AH69" i="4"/>
  <c r="AI69" i="4"/>
  <c r="AJ69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AD70" i="4"/>
  <c r="AE70" i="4"/>
  <c r="AF70" i="4"/>
  <c r="AG70" i="4"/>
  <c r="AH70" i="4"/>
  <c r="AI70" i="4"/>
  <c r="AJ70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AD71" i="4"/>
  <c r="AE71" i="4"/>
  <c r="AF71" i="4"/>
  <c r="AG71" i="4"/>
  <c r="AH71" i="4"/>
  <c r="AI71" i="4"/>
  <c r="AJ71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AD72" i="4"/>
  <c r="AE72" i="4"/>
  <c r="AF72" i="4"/>
  <c r="AG72" i="4"/>
  <c r="AH72" i="4"/>
  <c r="AI72" i="4"/>
  <c r="AJ72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AD74" i="4"/>
  <c r="AE74" i="4"/>
  <c r="AF74" i="4"/>
  <c r="AG74" i="4"/>
  <c r="AH74" i="4"/>
  <c r="AI74" i="4"/>
  <c r="AJ74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AD75" i="4"/>
  <c r="AE75" i="4"/>
  <c r="AF75" i="4"/>
  <c r="AG75" i="4"/>
  <c r="AH75" i="4"/>
  <c r="AI75" i="4"/>
  <c r="AJ75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AE77" i="4"/>
  <c r="AF77" i="4"/>
  <c r="AG77" i="4"/>
  <c r="AH77" i="4"/>
  <c r="AI77" i="4"/>
  <c r="AJ77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AD78" i="4"/>
  <c r="AE78" i="4"/>
  <c r="AF78" i="4"/>
  <c r="AG78" i="4"/>
  <c r="AH78" i="4"/>
  <c r="AI78" i="4"/>
  <c r="AJ78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AD80" i="4"/>
  <c r="AE80" i="4"/>
  <c r="AF80" i="4"/>
  <c r="AG80" i="4"/>
  <c r="AH80" i="4"/>
  <c r="AI80" i="4"/>
  <c r="AJ80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AD81" i="4"/>
  <c r="AE81" i="4"/>
  <c r="AF81" i="4"/>
  <c r="AG81" i="4"/>
  <c r="AH81" i="4"/>
  <c r="AI81" i="4"/>
  <c r="AJ81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AD82" i="4"/>
  <c r="AE82" i="4"/>
  <c r="AF82" i="4"/>
  <c r="AG82" i="4"/>
  <c r="AH82" i="4"/>
  <c r="AI82" i="4"/>
  <c r="AJ82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AD83" i="4"/>
  <c r="AE83" i="4"/>
  <c r="AF83" i="4"/>
  <c r="AG83" i="4"/>
  <c r="AH83" i="4"/>
  <c r="AI83" i="4"/>
  <c r="AJ83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AD84" i="4"/>
  <c r="AE84" i="4"/>
  <c r="AF84" i="4"/>
  <c r="AG84" i="4"/>
  <c r="AH84" i="4"/>
  <c r="AI84" i="4"/>
  <c r="AJ84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V86" i="4"/>
  <c r="W86" i="4"/>
  <c r="X86" i="4"/>
  <c r="Y86" i="4"/>
  <c r="Z86" i="4"/>
  <c r="AA86" i="4"/>
  <c r="AB86" i="4"/>
  <c r="AC86" i="4"/>
  <c r="AD86" i="4"/>
  <c r="AE86" i="4"/>
  <c r="AF86" i="4"/>
  <c r="AG86" i="4"/>
  <c r="AH86" i="4"/>
  <c r="AI86" i="4"/>
  <c r="AJ86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W87" i="4"/>
  <c r="X87" i="4"/>
  <c r="Y87" i="4"/>
  <c r="Z87" i="4"/>
  <c r="AA87" i="4"/>
  <c r="AB87" i="4"/>
  <c r="AC87" i="4"/>
  <c r="AD87" i="4"/>
  <c r="AE87" i="4"/>
  <c r="AF87" i="4"/>
  <c r="AG87" i="4"/>
  <c r="AH87" i="4"/>
  <c r="AI87" i="4"/>
  <c r="AJ87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AF88" i="4"/>
  <c r="AG88" i="4"/>
  <c r="AH88" i="4"/>
  <c r="AI88" i="4"/>
  <c r="AJ88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U90" i="4"/>
  <c r="V90" i="4"/>
  <c r="W90" i="4"/>
  <c r="X90" i="4"/>
  <c r="Y90" i="4"/>
  <c r="Z90" i="4"/>
  <c r="AA90" i="4"/>
  <c r="AB90" i="4"/>
  <c r="AC90" i="4"/>
  <c r="AD90" i="4"/>
  <c r="AE90" i="4"/>
  <c r="AF90" i="4"/>
  <c r="AG90" i="4"/>
  <c r="AH90" i="4"/>
  <c r="AI90" i="4"/>
  <c r="AJ90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X91" i="4"/>
  <c r="Y91" i="4"/>
  <c r="Z91" i="4"/>
  <c r="AA91" i="4"/>
  <c r="AB91" i="4"/>
  <c r="AC91" i="4"/>
  <c r="AD91" i="4"/>
  <c r="AE91" i="4"/>
  <c r="AF91" i="4"/>
  <c r="AG91" i="4"/>
  <c r="AH91" i="4"/>
  <c r="AI91" i="4"/>
  <c r="AJ91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X92" i="4"/>
  <c r="Y92" i="4"/>
  <c r="Z92" i="4"/>
  <c r="AA92" i="4"/>
  <c r="AB92" i="4"/>
  <c r="AC92" i="4"/>
  <c r="AD92" i="4"/>
  <c r="AE92" i="4"/>
  <c r="AF92" i="4"/>
  <c r="AG92" i="4"/>
  <c r="AH92" i="4"/>
  <c r="AI92" i="4"/>
  <c r="AJ92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X94" i="4"/>
  <c r="Y94" i="4"/>
  <c r="Z94" i="4"/>
  <c r="AA94" i="4"/>
  <c r="AB94" i="4"/>
  <c r="AC94" i="4"/>
  <c r="AD94" i="4"/>
  <c r="AE94" i="4"/>
  <c r="AF94" i="4"/>
  <c r="AG94" i="4"/>
  <c r="AH94" i="4"/>
  <c r="AI94" i="4"/>
  <c r="AJ94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X95" i="4"/>
  <c r="Y95" i="4"/>
  <c r="Z95" i="4"/>
  <c r="AA95" i="4"/>
  <c r="AB95" i="4"/>
  <c r="AC95" i="4"/>
  <c r="AD95" i="4"/>
  <c r="AE95" i="4"/>
  <c r="AF95" i="4"/>
  <c r="AG95" i="4"/>
  <c r="AH95" i="4"/>
  <c r="AI95" i="4"/>
  <c r="AJ95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U97" i="4"/>
  <c r="V97" i="4"/>
  <c r="W97" i="4"/>
  <c r="X97" i="4"/>
  <c r="Y97" i="4"/>
  <c r="Z97" i="4"/>
  <c r="AA97" i="4"/>
  <c r="AB97" i="4"/>
  <c r="AC97" i="4"/>
  <c r="AD97" i="4"/>
  <c r="AE97" i="4"/>
  <c r="AF97" i="4"/>
  <c r="AG97" i="4"/>
  <c r="AH97" i="4"/>
  <c r="AI97" i="4"/>
  <c r="AJ97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AI98" i="4"/>
  <c r="AJ98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U99" i="4"/>
  <c r="V99" i="4"/>
  <c r="W99" i="4"/>
  <c r="X99" i="4"/>
  <c r="Y99" i="4"/>
  <c r="Z99" i="4"/>
  <c r="AA99" i="4"/>
  <c r="AB99" i="4"/>
  <c r="AC99" i="4"/>
  <c r="AD99" i="4"/>
  <c r="AE99" i="4"/>
  <c r="AF99" i="4"/>
  <c r="AG99" i="4"/>
  <c r="AH99" i="4"/>
  <c r="AI99" i="4"/>
  <c r="AJ99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J100" i="4"/>
  <c r="H101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U101" i="4"/>
  <c r="V101" i="4"/>
  <c r="W101" i="4"/>
  <c r="X101" i="4"/>
  <c r="Y101" i="4"/>
  <c r="Z101" i="4"/>
  <c r="AA101" i="4"/>
  <c r="AB101" i="4"/>
  <c r="AC101" i="4"/>
  <c r="AD101" i="4"/>
  <c r="AE101" i="4"/>
  <c r="AF101" i="4"/>
  <c r="AG101" i="4"/>
  <c r="AH101" i="4"/>
  <c r="AI101" i="4"/>
  <c r="AJ101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V102" i="4"/>
  <c r="W102" i="4"/>
  <c r="X102" i="4"/>
  <c r="Y102" i="4"/>
  <c r="Z102" i="4"/>
  <c r="AA102" i="4"/>
  <c r="AB102" i="4"/>
  <c r="AC102" i="4"/>
  <c r="AD102" i="4"/>
  <c r="AE102" i="4"/>
  <c r="AF102" i="4"/>
  <c r="AG102" i="4"/>
  <c r="AH102" i="4"/>
  <c r="AI102" i="4"/>
  <c r="AJ102" i="4"/>
  <c r="H103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U103" i="4"/>
  <c r="V103" i="4"/>
  <c r="W103" i="4"/>
  <c r="X103" i="4"/>
  <c r="Y103" i="4"/>
  <c r="Z103" i="4"/>
  <c r="AA103" i="4"/>
  <c r="AB103" i="4"/>
  <c r="AC103" i="4"/>
  <c r="AD103" i="4"/>
  <c r="AE103" i="4"/>
  <c r="AF103" i="4"/>
  <c r="AG103" i="4"/>
  <c r="AH103" i="4"/>
  <c r="AI103" i="4"/>
  <c r="AJ103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V104" i="4"/>
  <c r="W104" i="4"/>
  <c r="X104" i="4"/>
  <c r="Y104" i="4"/>
  <c r="Z104" i="4"/>
  <c r="AA104" i="4"/>
  <c r="AB104" i="4"/>
  <c r="AC104" i="4"/>
  <c r="AD104" i="4"/>
  <c r="AE104" i="4"/>
  <c r="AF104" i="4"/>
  <c r="AG104" i="4"/>
  <c r="AH104" i="4"/>
  <c r="AI104" i="4"/>
  <c r="AJ104" i="4"/>
  <c r="H105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U105" i="4"/>
  <c r="V105" i="4"/>
  <c r="W105" i="4"/>
  <c r="X105" i="4"/>
  <c r="Y105" i="4"/>
  <c r="Z105" i="4"/>
  <c r="AA105" i="4"/>
  <c r="AB105" i="4"/>
  <c r="AC105" i="4"/>
  <c r="AD105" i="4"/>
  <c r="AE105" i="4"/>
  <c r="AF105" i="4"/>
  <c r="AG105" i="4"/>
  <c r="AH105" i="4"/>
  <c r="AI105" i="4"/>
  <c r="AJ105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V106" i="4"/>
  <c r="W106" i="4"/>
  <c r="X106" i="4"/>
  <c r="Y106" i="4"/>
  <c r="Z106" i="4"/>
  <c r="AA106" i="4"/>
  <c r="AB106" i="4"/>
  <c r="AC106" i="4"/>
  <c r="AD106" i="4"/>
  <c r="AE106" i="4"/>
  <c r="AF106" i="4"/>
  <c r="AG106" i="4"/>
  <c r="AH106" i="4"/>
  <c r="AI106" i="4"/>
  <c r="AJ106" i="4"/>
  <c r="H107" i="4"/>
  <c r="I107" i="4"/>
  <c r="J107" i="4"/>
  <c r="K107" i="4"/>
  <c r="L107" i="4"/>
  <c r="M107" i="4"/>
  <c r="N107" i="4"/>
  <c r="O107" i="4"/>
  <c r="P107" i="4"/>
  <c r="Q107" i="4"/>
  <c r="R107" i="4"/>
  <c r="S107" i="4"/>
  <c r="T107" i="4"/>
  <c r="U107" i="4"/>
  <c r="V107" i="4"/>
  <c r="W107" i="4"/>
  <c r="X107" i="4"/>
  <c r="Y107" i="4"/>
  <c r="Z107" i="4"/>
  <c r="AA107" i="4"/>
  <c r="AB107" i="4"/>
  <c r="AC107" i="4"/>
  <c r="AD107" i="4"/>
  <c r="AE107" i="4"/>
  <c r="AF107" i="4"/>
  <c r="AG107" i="4"/>
  <c r="AH107" i="4"/>
  <c r="AI107" i="4"/>
  <c r="AJ107" i="4"/>
  <c r="H108" i="4"/>
  <c r="I108" i="4"/>
  <c r="J108" i="4"/>
  <c r="K108" i="4"/>
  <c r="L108" i="4"/>
  <c r="M108" i="4"/>
  <c r="N108" i="4"/>
  <c r="O108" i="4"/>
  <c r="P108" i="4"/>
  <c r="Q108" i="4"/>
  <c r="R108" i="4"/>
  <c r="S108" i="4"/>
  <c r="T108" i="4"/>
  <c r="U108" i="4"/>
  <c r="V108" i="4"/>
  <c r="W108" i="4"/>
  <c r="X108" i="4"/>
  <c r="Y108" i="4"/>
  <c r="Z108" i="4"/>
  <c r="AA108" i="4"/>
  <c r="AB108" i="4"/>
  <c r="AC108" i="4"/>
  <c r="AD108" i="4"/>
  <c r="AE108" i="4"/>
  <c r="AF108" i="4"/>
  <c r="AG108" i="4"/>
  <c r="AH108" i="4"/>
  <c r="AI108" i="4"/>
  <c r="AJ108" i="4"/>
  <c r="H109" i="4"/>
  <c r="I109" i="4"/>
  <c r="J109" i="4"/>
  <c r="K109" i="4"/>
  <c r="L109" i="4"/>
  <c r="M109" i="4"/>
  <c r="N109" i="4"/>
  <c r="O109" i="4"/>
  <c r="P109" i="4"/>
  <c r="Q109" i="4"/>
  <c r="R109" i="4"/>
  <c r="S109" i="4"/>
  <c r="T109" i="4"/>
  <c r="U109" i="4"/>
  <c r="V109" i="4"/>
  <c r="W109" i="4"/>
  <c r="X109" i="4"/>
  <c r="Y109" i="4"/>
  <c r="Z109" i="4"/>
  <c r="AA109" i="4"/>
  <c r="AB109" i="4"/>
  <c r="AC109" i="4"/>
  <c r="AD109" i="4"/>
  <c r="AE109" i="4"/>
  <c r="AF109" i="4"/>
  <c r="AG109" i="4"/>
  <c r="AH109" i="4"/>
  <c r="AI109" i="4"/>
  <c r="AJ109" i="4"/>
  <c r="H110" i="4"/>
  <c r="I110" i="4"/>
  <c r="J110" i="4"/>
  <c r="K110" i="4"/>
  <c r="L110" i="4"/>
  <c r="M110" i="4"/>
  <c r="N110" i="4"/>
  <c r="O110" i="4"/>
  <c r="P110" i="4"/>
  <c r="Q110" i="4"/>
  <c r="R110" i="4"/>
  <c r="S110" i="4"/>
  <c r="T110" i="4"/>
  <c r="U110" i="4"/>
  <c r="V110" i="4"/>
  <c r="W110" i="4"/>
  <c r="X110" i="4"/>
  <c r="Y110" i="4"/>
  <c r="Z110" i="4"/>
  <c r="AA110" i="4"/>
  <c r="AB110" i="4"/>
  <c r="AC110" i="4"/>
  <c r="AD110" i="4"/>
  <c r="AE110" i="4"/>
  <c r="AF110" i="4"/>
  <c r="AG110" i="4"/>
  <c r="AH110" i="4"/>
  <c r="AI110" i="4"/>
  <c r="AJ110" i="4"/>
  <c r="H111" i="4"/>
  <c r="I111" i="4"/>
  <c r="J111" i="4"/>
  <c r="K111" i="4"/>
  <c r="L111" i="4"/>
  <c r="M111" i="4"/>
  <c r="N111" i="4"/>
  <c r="O111" i="4"/>
  <c r="P111" i="4"/>
  <c r="Q111" i="4"/>
  <c r="R111" i="4"/>
  <c r="S111" i="4"/>
  <c r="T111" i="4"/>
  <c r="U111" i="4"/>
  <c r="V111" i="4"/>
  <c r="W111" i="4"/>
  <c r="X111" i="4"/>
  <c r="Y111" i="4"/>
  <c r="Z111" i="4"/>
  <c r="AA111" i="4"/>
  <c r="AB111" i="4"/>
  <c r="AC111" i="4"/>
  <c r="AD111" i="4"/>
  <c r="AE111" i="4"/>
  <c r="AF111" i="4"/>
  <c r="AG111" i="4"/>
  <c r="AH111" i="4"/>
  <c r="AI111" i="4"/>
  <c r="AJ111" i="4"/>
  <c r="H112" i="4"/>
  <c r="I112" i="4"/>
  <c r="J112" i="4"/>
  <c r="K112" i="4"/>
  <c r="L112" i="4"/>
  <c r="M112" i="4"/>
  <c r="N112" i="4"/>
  <c r="O112" i="4"/>
  <c r="P112" i="4"/>
  <c r="Q112" i="4"/>
  <c r="R112" i="4"/>
  <c r="S112" i="4"/>
  <c r="T112" i="4"/>
  <c r="U112" i="4"/>
  <c r="V112" i="4"/>
  <c r="W112" i="4"/>
  <c r="X112" i="4"/>
  <c r="Y112" i="4"/>
  <c r="Z112" i="4"/>
  <c r="AA112" i="4"/>
  <c r="AB112" i="4"/>
  <c r="AC112" i="4"/>
  <c r="AD112" i="4"/>
  <c r="AE112" i="4"/>
  <c r="AF112" i="4"/>
  <c r="AG112" i="4"/>
  <c r="AH112" i="4"/>
  <c r="AI112" i="4"/>
  <c r="AJ112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H114" i="4"/>
  <c r="I114" i="4"/>
  <c r="J114" i="4"/>
  <c r="K114" i="4"/>
  <c r="L114" i="4"/>
  <c r="M114" i="4"/>
  <c r="N114" i="4"/>
  <c r="O114" i="4"/>
  <c r="P114" i="4"/>
  <c r="Q114" i="4"/>
  <c r="R114" i="4"/>
  <c r="S114" i="4"/>
  <c r="T114" i="4"/>
  <c r="U114" i="4"/>
  <c r="V114" i="4"/>
  <c r="W114" i="4"/>
  <c r="X114" i="4"/>
  <c r="Y114" i="4"/>
  <c r="Z114" i="4"/>
  <c r="AA114" i="4"/>
  <c r="AB114" i="4"/>
  <c r="AC114" i="4"/>
  <c r="AD114" i="4"/>
  <c r="AE114" i="4"/>
  <c r="AF114" i="4"/>
  <c r="AG114" i="4"/>
  <c r="AH114" i="4"/>
  <c r="AI114" i="4"/>
  <c r="AJ114" i="4"/>
  <c r="H115" i="4"/>
  <c r="I115" i="4"/>
  <c r="J115" i="4"/>
  <c r="K115" i="4"/>
  <c r="L115" i="4"/>
  <c r="M115" i="4"/>
  <c r="N115" i="4"/>
  <c r="O115" i="4"/>
  <c r="P115" i="4"/>
  <c r="Q115" i="4"/>
  <c r="R115" i="4"/>
  <c r="S115" i="4"/>
  <c r="T115" i="4"/>
  <c r="U115" i="4"/>
  <c r="V115" i="4"/>
  <c r="W115" i="4"/>
  <c r="X115" i="4"/>
  <c r="Y115" i="4"/>
  <c r="Z115" i="4"/>
  <c r="AA115" i="4"/>
  <c r="AB115" i="4"/>
  <c r="AC115" i="4"/>
  <c r="AD115" i="4"/>
  <c r="AE115" i="4"/>
  <c r="AF115" i="4"/>
  <c r="AG115" i="4"/>
  <c r="AH115" i="4"/>
  <c r="AI115" i="4"/>
  <c r="AJ115" i="4"/>
  <c r="H116" i="4"/>
  <c r="I116" i="4"/>
  <c r="J116" i="4"/>
  <c r="K116" i="4"/>
  <c r="L116" i="4"/>
  <c r="M116" i="4"/>
  <c r="N116" i="4"/>
  <c r="O116" i="4"/>
  <c r="P116" i="4"/>
  <c r="Q116" i="4"/>
  <c r="R116" i="4"/>
  <c r="S116" i="4"/>
  <c r="T116" i="4"/>
  <c r="U116" i="4"/>
  <c r="V116" i="4"/>
  <c r="W116" i="4"/>
  <c r="X116" i="4"/>
  <c r="Y116" i="4"/>
  <c r="Z116" i="4"/>
  <c r="AA116" i="4"/>
  <c r="AB116" i="4"/>
  <c r="AC116" i="4"/>
  <c r="AD116" i="4"/>
  <c r="AE116" i="4"/>
  <c r="AF116" i="4"/>
  <c r="AG116" i="4"/>
  <c r="AH116" i="4"/>
  <c r="AI116" i="4"/>
  <c r="AJ116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U117" i="4"/>
  <c r="V117" i="4"/>
  <c r="W117" i="4"/>
  <c r="X117" i="4"/>
  <c r="Y117" i="4"/>
  <c r="Z117" i="4"/>
  <c r="AA117" i="4"/>
  <c r="AB117" i="4"/>
  <c r="AC117" i="4"/>
  <c r="AD117" i="4"/>
  <c r="AE117" i="4"/>
  <c r="AF117" i="4"/>
  <c r="AG117" i="4"/>
  <c r="AH117" i="4"/>
  <c r="AI117" i="4"/>
  <c r="AJ117" i="4"/>
  <c r="H118" i="4"/>
  <c r="I118" i="4"/>
  <c r="J118" i="4"/>
  <c r="K118" i="4"/>
  <c r="L118" i="4"/>
  <c r="M118" i="4"/>
  <c r="N118" i="4"/>
  <c r="O118" i="4"/>
  <c r="P118" i="4"/>
  <c r="Q118" i="4"/>
  <c r="R118" i="4"/>
  <c r="S118" i="4"/>
  <c r="T118" i="4"/>
  <c r="U118" i="4"/>
  <c r="V118" i="4"/>
  <c r="W118" i="4"/>
  <c r="X118" i="4"/>
  <c r="Y118" i="4"/>
  <c r="Z118" i="4"/>
  <c r="AA118" i="4"/>
  <c r="AB118" i="4"/>
  <c r="AC118" i="4"/>
  <c r="AD118" i="4"/>
  <c r="AE118" i="4"/>
  <c r="AF118" i="4"/>
  <c r="AG118" i="4"/>
  <c r="AH118" i="4"/>
  <c r="AI118" i="4"/>
  <c r="AJ118" i="4"/>
  <c r="H119" i="4"/>
  <c r="I119" i="4"/>
  <c r="J119" i="4"/>
  <c r="K119" i="4"/>
  <c r="L119" i="4"/>
  <c r="M119" i="4"/>
  <c r="N119" i="4"/>
  <c r="O119" i="4"/>
  <c r="P119" i="4"/>
  <c r="Q119" i="4"/>
  <c r="R119" i="4"/>
  <c r="S119" i="4"/>
  <c r="T119" i="4"/>
  <c r="U119" i="4"/>
  <c r="V119" i="4"/>
  <c r="W119" i="4"/>
  <c r="X119" i="4"/>
  <c r="Y119" i="4"/>
  <c r="Z119" i="4"/>
  <c r="AA119" i="4"/>
  <c r="AB119" i="4"/>
  <c r="AC119" i="4"/>
  <c r="AD119" i="4"/>
  <c r="AE119" i="4"/>
  <c r="AF119" i="4"/>
  <c r="AG119" i="4"/>
  <c r="AH119" i="4"/>
  <c r="AI119" i="4"/>
  <c r="AJ119" i="4"/>
  <c r="H120" i="4"/>
  <c r="I120" i="4"/>
  <c r="J120" i="4"/>
  <c r="K120" i="4"/>
  <c r="L120" i="4"/>
  <c r="M120" i="4"/>
  <c r="N120" i="4"/>
  <c r="O120" i="4"/>
  <c r="P120" i="4"/>
  <c r="Q120" i="4"/>
  <c r="R120" i="4"/>
  <c r="S120" i="4"/>
  <c r="T120" i="4"/>
  <c r="U120" i="4"/>
  <c r="V120" i="4"/>
  <c r="W120" i="4"/>
  <c r="X120" i="4"/>
  <c r="Y120" i="4"/>
  <c r="Z120" i="4"/>
  <c r="AA120" i="4"/>
  <c r="AB120" i="4"/>
  <c r="AC120" i="4"/>
  <c r="AD120" i="4"/>
  <c r="AE120" i="4"/>
  <c r="AF120" i="4"/>
  <c r="AG120" i="4"/>
  <c r="AH120" i="4"/>
  <c r="AI120" i="4"/>
  <c r="AJ120" i="4"/>
  <c r="H121" i="4"/>
  <c r="I121" i="4"/>
  <c r="J121" i="4"/>
  <c r="K121" i="4"/>
  <c r="L121" i="4"/>
  <c r="M121" i="4"/>
  <c r="N121" i="4"/>
  <c r="O121" i="4"/>
  <c r="P121" i="4"/>
  <c r="Q121" i="4"/>
  <c r="R121" i="4"/>
  <c r="S121" i="4"/>
  <c r="T121" i="4"/>
  <c r="U121" i="4"/>
  <c r="V121" i="4"/>
  <c r="W121" i="4"/>
  <c r="X121" i="4"/>
  <c r="Y121" i="4"/>
  <c r="Z121" i="4"/>
  <c r="AA121" i="4"/>
  <c r="AB121" i="4"/>
  <c r="AC121" i="4"/>
  <c r="AD121" i="4"/>
  <c r="AE121" i="4"/>
  <c r="AF121" i="4"/>
  <c r="AG121" i="4"/>
  <c r="AH121" i="4"/>
  <c r="AI121" i="4"/>
  <c r="AJ121" i="4"/>
  <c r="H122" i="4"/>
  <c r="I122" i="4"/>
  <c r="J122" i="4"/>
  <c r="K122" i="4"/>
  <c r="L122" i="4"/>
  <c r="M122" i="4"/>
  <c r="N122" i="4"/>
  <c r="O122" i="4"/>
  <c r="P122" i="4"/>
  <c r="Q122" i="4"/>
  <c r="R122" i="4"/>
  <c r="S122" i="4"/>
  <c r="T122" i="4"/>
  <c r="U122" i="4"/>
  <c r="V122" i="4"/>
  <c r="W122" i="4"/>
  <c r="X122" i="4"/>
  <c r="Y122" i="4"/>
  <c r="Z122" i="4"/>
  <c r="AA122" i="4"/>
  <c r="AB122" i="4"/>
  <c r="AC122" i="4"/>
  <c r="AD122" i="4"/>
  <c r="AE122" i="4"/>
  <c r="AF122" i="4"/>
  <c r="AG122" i="4"/>
  <c r="AH122" i="4"/>
  <c r="AI122" i="4"/>
  <c r="AJ122" i="4"/>
  <c r="H123" i="4"/>
  <c r="I123" i="4"/>
  <c r="J123" i="4"/>
  <c r="K123" i="4"/>
  <c r="L123" i="4"/>
  <c r="M123" i="4"/>
  <c r="N123" i="4"/>
  <c r="O123" i="4"/>
  <c r="P123" i="4"/>
  <c r="Q123" i="4"/>
  <c r="R123" i="4"/>
  <c r="S123" i="4"/>
  <c r="T123" i="4"/>
  <c r="U123" i="4"/>
  <c r="V123" i="4"/>
  <c r="W123" i="4"/>
  <c r="X123" i="4"/>
  <c r="Y123" i="4"/>
  <c r="Z123" i="4"/>
  <c r="AA123" i="4"/>
  <c r="AB123" i="4"/>
  <c r="AC123" i="4"/>
  <c r="AD123" i="4"/>
  <c r="AE123" i="4"/>
  <c r="AF123" i="4"/>
  <c r="AG123" i="4"/>
  <c r="AH123" i="4"/>
  <c r="AI123" i="4"/>
  <c r="AJ123" i="4"/>
  <c r="H124" i="4"/>
  <c r="I124" i="4"/>
  <c r="J124" i="4"/>
  <c r="K124" i="4"/>
  <c r="L124" i="4"/>
  <c r="M124" i="4"/>
  <c r="N124" i="4"/>
  <c r="O124" i="4"/>
  <c r="P124" i="4"/>
  <c r="Q124" i="4"/>
  <c r="R124" i="4"/>
  <c r="S124" i="4"/>
  <c r="T124" i="4"/>
  <c r="U124" i="4"/>
  <c r="V124" i="4"/>
  <c r="W124" i="4"/>
  <c r="X124" i="4"/>
  <c r="Y124" i="4"/>
  <c r="Z124" i="4"/>
  <c r="AA124" i="4"/>
  <c r="AB124" i="4"/>
  <c r="AC124" i="4"/>
  <c r="AD124" i="4"/>
  <c r="AE124" i="4"/>
  <c r="AF124" i="4"/>
  <c r="AG124" i="4"/>
  <c r="AH124" i="4"/>
  <c r="AI124" i="4"/>
  <c r="AJ124" i="4"/>
  <c r="H125" i="4"/>
  <c r="I125" i="4"/>
  <c r="J125" i="4"/>
  <c r="K125" i="4"/>
  <c r="L125" i="4"/>
  <c r="M125" i="4"/>
  <c r="N125" i="4"/>
  <c r="O125" i="4"/>
  <c r="P125" i="4"/>
  <c r="Q125" i="4"/>
  <c r="R125" i="4"/>
  <c r="S125" i="4"/>
  <c r="T125" i="4"/>
  <c r="U125" i="4"/>
  <c r="V125" i="4"/>
  <c r="W125" i="4"/>
  <c r="X125" i="4"/>
  <c r="Y125" i="4"/>
  <c r="Z125" i="4"/>
  <c r="AA125" i="4"/>
  <c r="AB125" i="4"/>
  <c r="AC125" i="4"/>
  <c r="AD125" i="4"/>
  <c r="AE125" i="4"/>
  <c r="AF125" i="4"/>
  <c r="AG125" i="4"/>
  <c r="AH125" i="4"/>
  <c r="AI125" i="4"/>
  <c r="AJ125" i="4"/>
  <c r="H126" i="4"/>
  <c r="I126" i="4"/>
  <c r="J126" i="4"/>
  <c r="K126" i="4"/>
  <c r="L126" i="4"/>
  <c r="M126" i="4"/>
  <c r="N126" i="4"/>
  <c r="O126" i="4"/>
  <c r="P126" i="4"/>
  <c r="Q126" i="4"/>
  <c r="R126" i="4"/>
  <c r="S126" i="4"/>
  <c r="T126" i="4"/>
  <c r="U126" i="4"/>
  <c r="V126" i="4"/>
  <c r="W126" i="4"/>
  <c r="X126" i="4"/>
  <c r="Y126" i="4"/>
  <c r="Z126" i="4"/>
  <c r="AA126" i="4"/>
  <c r="AB126" i="4"/>
  <c r="AC126" i="4"/>
  <c r="AD126" i="4"/>
  <c r="AE126" i="4"/>
  <c r="AF126" i="4"/>
  <c r="AG126" i="4"/>
  <c r="AH126" i="4"/>
  <c r="AI126" i="4"/>
  <c r="AJ126" i="4"/>
  <c r="H127" i="4"/>
  <c r="I127" i="4"/>
  <c r="J127" i="4"/>
  <c r="K127" i="4"/>
  <c r="L127" i="4"/>
  <c r="M127" i="4"/>
  <c r="N127" i="4"/>
  <c r="O127" i="4"/>
  <c r="P127" i="4"/>
  <c r="Q127" i="4"/>
  <c r="R127" i="4"/>
  <c r="S127" i="4"/>
  <c r="T127" i="4"/>
  <c r="U127" i="4"/>
  <c r="V127" i="4"/>
  <c r="W127" i="4"/>
  <c r="X127" i="4"/>
  <c r="Y127" i="4"/>
  <c r="Z127" i="4"/>
  <c r="AA127" i="4"/>
  <c r="AB127" i="4"/>
  <c r="AC127" i="4"/>
  <c r="AD127" i="4"/>
  <c r="AE127" i="4"/>
  <c r="AF127" i="4"/>
  <c r="AG127" i="4"/>
  <c r="AH127" i="4"/>
  <c r="AI127" i="4"/>
  <c r="AJ127" i="4"/>
  <c r="H128" i="4"/>
  <c r="I128" i="4"/>
  <c r="J128" i="4"/>
  <c r="K128" i="4"/>
  <c r="L128" i="4"/>
  <c r="M128" i="4"/>
  <c r="N128" i="4"/>
  <c r="O128" i="4"/>
  <c r="P128" i="4"/>
  <c r="Q128" i="4"/>
  <c r="R128" i="4"/>
  <c r="S128" i="4"/>
  <c r="T128" i="4"/>
  <c r="U128" i="4"/>
  <c r="V128" i="4"/>
  <c r="W128" i="4"/>
  <c r="X128" i="4"/>
  <c r="Y128" i="4"/>
  <c r="Z128" i="4"/>
  <c r="AA128" i="4"/>
  <c r="AB128" i="4"/>
  <c r="AC128" i="4"/>
  <c r="AD128" i="4"/>
  <c r="AE128" i="4"/>
  <c r="AF128" i="4"/>
  <c r="AG128" i="4"/>
  <c r="AH128" i="4"/>
  <c r="AI128" i="4"/>
  <c r="AJ128" i="4"/>
  <c r="H129" i="4"/>
  <c r="I129" i="4"/>
  <c r="J129" i="4"/>
  <c r="K129" i="4"/>
  <c r="L129" i="4"/>
  <c r="M129" i="4"/>
  <c r="N129" i="4"/>
  <c r="O129" i="4"/>
  <c r="P129" i="4"/>
  <c r="Q129" i="4"/>
  <c r="R129" i="4"/>
  <c r="S129" i="4"/>
  <c r="T129" i="4"/>
  <c r="U129" i="4"/>
  <c r="V129" i="4"/>
  <c r="W129" i="4"/>
  <c r="X129" i="4"/>
  <c r="Y129" i="4"/>
  <c r="Z129" i="4"/>
  <c r="AA129" i="4"/>
  <c r="AB129" i="4"/>
  <c r="AC129" i="4"/>
  <c r="AD129" i="4"/>
  <c r="AE129" i="4"/>
  <c r="AF129" i="4"/>
  <c r="AG129" i="4"/>
  <c r="AH129" i="4"/>
  <c r="AI129" i="4"/>
  <c r="AJ129" i="4"/>
  <c r="H130" i="4"/>
  <c r="I130" i="4"/>
  <c r="J130" i="4"/>
  <c r="K130" i="4"/>
  <c r="L130" i="4"/>
  <c r="M130" i="4"/>
  <c r="N130" i="4"/>
  <c r="O130" i="4"/>
  <c r="P130" i="4"/>
  <c r="Q130" i="4"/>
  <c r="R130" i="4"/>
  <c r="S130" i="4"/>
  <c r="T130" i="4"/>
  <c r="U130" i="4"/>
  <c r="V130" i="4"/>
  <c r="W130" i="4"/>
  <c r="X130" i="4"/>
  <c r="Y130" i="4"/>
  <c r="Z130" i="4"/>
  <c r="AA130" i="4"/>
  <c r="AB130" i="4"/>
  <c r="AC130" i="4"/>
  <c r="AD130" i="4"/>
  <c r="AE130" i="4"/>
  <c r="AF130" i="4"/>
  <c r="AG130" i="4"/>
  <c r="AH130" i="4"/>
  <c r="AI130" i="4"/>
  <c r="AJ130" i="4"/>
  <c r="H131" i="4"/>
  <c r="I131" i="4"/>
  <c r="J131" i="4"/>
  <c r="K131" i="4"/>
  <c r="L131" i="4"/>
  <c r="M131" i="4"/>
  <c r="N131" i="4"/>
  <c r="O131" i="4"/>
  <c r="P131" i="4"/>
  <c r="Q131" i="4"/>
  <c r="R131" i="4"/>
  <c r="S131" i="4"/>
  <c r="T131" i="4"/>
  <c r="U131" i="4"/>
  <c r="V131" i="4"/>
  <c r="W131" i="4"/>
  <c r="X131" i="4"/>
  <c r="Y131" i="4"/>
  <c r="Z131" i="4"/>
  <c r="AA131" i="4"/>
  <c r="AB131" i="4"/>
  <c r="AC131" i="4"/>
  <c r="AD131" i="4"/>
  <c r="AE131" i="4"/>
  <c r="AF131" i="4"/>
  <c r="AG131" i="4"/>
  <c r="AH131" i="4"/>
  <c r="AI131" i="4"/>
  <c r="AJ131" i="4"/>
  <c r="H132" i="4"/>
  <c r="I132" i="4"/>
  <c r="J132" i="4"/>
  <c r="K132" i="4"/>
  <c r="L132" i="4"/>
  <c r="M132" i="4"/>
  <c r="N132" i="4"/>
  <c r="O132" i="4"/>
  <c r="P132" i="4"/>
  <c r="Q132" i="4"/>
  <c r="R132" i="4"/>
  <c r="S132" i="4"/>
  <c r="T132" i="4"/>
  <c r="U132" i="4"/>
  <c r="V132" i="4"/>
  <c r="W132" i="4"/>
  <c r="X132" i="4"/>
  <c r="Y132" i="4"/>
  <c r="Z132" i="4"/>
  <c r="AA132" i="4"/>
  <c r="AB132" i="4"/>
  <c r="AC132" i="4"/>
  <c r="AD132" i="4"/>
  <c r="AE132" i="4"/>
  <c r="AF132" i="4"/>
  <c r="AG132" i="4"/>
  <c r="AH132" i="4"/>
  <c r="AI132" i="4"/>
  <c r="AJ132" i="4"/>
  <c r="H133" i="4"/>
  <c r="I133" i="4"/>
  <c r="J133" i="4"/>
  <c r="K133" i="4"/>
  <c r="L133" i="4"/>
  <c r="M133" i="4"/>
  <c r="N133" i="4"/>
  <c r="O133" i="4"/>
  <c r="P133" i="4"/>
  <c r="Q133" i="4"/>
  <c r="R133" i="4"/>
  <c r="S133" i="4"/>
  <c r="T133" i="4"/>
  <c r="U133" i="4"/>
  <c r="V133" i="4"/>
  <c r="W133" i="4"/>
  <c r="X133" i="4"/>
  <c r="Y133" i="4"/>
  <c r="Z133" i="4"/>
  <c r="AA133" i="4"/>
  <c r="AB133" i="4"/>
  <c r="AC133" i="4"/>
  <c r="AD133" i="4"/>
  <c r="AE133" i="4"/>
  <c r="AF133" i="4"/>
  <c r="AG133" i="4"/>
  <c r="AH133" i="4"/>
  <c r="AI133" i="4"/>
  <c r="AJ133" i="4"/>
  <c r="H134" i="4"/>
  <c r="I134" i="4"/>
  <c r="J134" i="4"/>
  <c r="K134" i="4"/>
  <c r="L134" i="4"/>
  <c r="M134" i="4"/>
  <c r="N134" i="4"/>
  <c r="O134" i="4"/>
  <c r="P134" i="4"/>
  <c r="Q134" i="4"/>
  <c r="R134" i="4"/>
  <c r="S134" i="4"/>
  <c r="T134" i="4"/>
  <c r="U134" i="4"/>
  <c r="V134" i="4"/>
  <c r="W134" i="4"/>
  <c r="X134" i="4"/>
  <c r="Y134" i="4"/>
  <c r="Z134" i="4"/>
  <c r="AA134" i="4"/>
  <c r="AB134" i="4"/>
  <c r="AC134" i="4"/>
  <c r="AD134" i="4"/>
  <c r="AE134" i="4"/>
  <c r="AF134" i="4"/>
  <c r="AG134" i="4"/>
  <c r="AH134" i="4"/>
  <c r="AI134" i="4"/>
  <c r="AJ134" i="4"/>
  <c r="H135" i="4"/>
  <c r="I135" i="4"/>
  <c r="J135" i="4"/>
  <c r="K135" i="4"/>
  <c r="L135" i="4"/>
  <c r="M135" i="4"/>
  <c r="N135" i="4"/>
  <c r="O135" i="4"/>
  <c r="P135" i="4"/>
  <c r="Q135" i="4"/>
  <c r="R135" i="4"/>
  <c r="S135" i="4"/>
  <c r="T135" i="4"/>
  <c r="U135" i="4"/>
  <c r="V135" i="4"/>
  <c r="W135" i="4"/>
  <c r="X135" i="4"/>
  <c r="Y135" i="4"/>
  <c r="Z135" i="4"/>
  <c r="AA135" i="4"/>
  <c r="AB135" i="4"/>
  <c r="AC135" i="4"/>
  <c r="AD135" i="4"/>
  <c r="AE135" i="4"/>
  <c r="AF135" i="4"/>
  <c r="AG135" i="4"/>
  <c r="AH135" i="4"/>
  <c r="AI135" i="4"/>
  <c r="AJ135" i="4"/>
  <c r="H136" i="4"/>
  <c r="I136" i="4"/>
  <c r="J136" i="4"/>
  <c r="K136" i="4"/>
  <c r="L136" i="4"/>
  <c r="M136" i="4"/>
  <c r="N136" i="4"/>
  <c r="O136" i="4"/>
  <c r="P136" i="4"/>
  <c r="Q136" i="4"/>
  <c r="R136" i="4"/>
  <c r="S136" i="4"/>
  <c r="T136" i="4"/>
  <c r="U136" i="4"/>
  <c r="V136" i="4"/>
  <c r="W136" i="4"/>
  <c r="X136" i="4"/>
  <c r="Y136" i="4"/>
  <c r="Z136" i="4"/>
  <c r="AA136" i="4"/>
  <c r="AB136" i="4"/>
  <c r="AC136" i="4"/>
  <c r="AD136" i="4"/>
  <c r="AE136" i="4"/>
  <c r="AF136" i="4"/>
  <c r="AG136" i="4"/>
  <c r="AH136" i="4"/>
  <c r="AI136" i="4"/>
  <c r="AJ136" i="4"/>
  <c r="H137" i="4"/>
  <c r="I137" i="4"/>
  <c r="J137" i="4"/>
  <c r="K137" i="4"/>
  <c r="L137" i="4"/>
  <c r="M137" i="4"/>
  <c r="N137" i="4"/>
  <c r="O137" i="4"/>
  <c r="P137" i="4"/>
  <c r="Q137" i="4"/>
  <c r="R137" i="4"/>
  <c r="S137" i="4"/>
  <c r="T137" i="4"/>
  <c r="U137" i="4"/>
  <c r="V137" i="4"/>
  <c r="W137" i="4"/>
  <c r="X137" i="4"/>
  <c r="Y137" i="4"/>
  <c r="Z137" i="4"/>
  <c r="AA137" i="4"/>
  <c r="AB137" i="4"/>
  <c r="AC137" i="4"/>
  <c r="AD137" i="4"/>
  <c r="AE137" i="4"/>
  <c r="AF137" i="4"/>
  <c r="AG137" i="4"/>
  <c r="AH137" i="4"/>
  <c r="AI137" i="4"/>
  <c r="AJ137" i="4"/>
  <c r="H138" i="4"/>
  <c r="I138" i="4"/>
  <c r="J138" i="4"/>
  <c r="K138" i="4"/>
  <c r="L138" i="4"/>
  <c r="M138" i="4"/>
  <c r="N138" i="4"/>
  <c r="O138" i="4"/>
  <c r="P138" i="4"/>
  <c r="Q138" i="4"/>
  <c r="R138" i="4"/>
  <c r="S138" i="4"/>
  <c r="T138" i="4"/>
  <c r="U138" i="4"/>
  <c r="V138" i="4"/>
  <c r="W138" i="4"/>
  <c r="X138" i="4"/>
  <c r="Y138" i="4"/>
  <c r="Z138" i="4"/>
  <c r="AA138" i="4"/>
  <c r="AB138" i="4"/>
  <c r="AC138" i="4"/>
  <c r="AD138" i="4"/>
  <c r="AE138" i="4"/>
  <c r="AF138" i="4"/>
  <c r="AG138" i="4"/>
  <c r="AH138" i="4"/>
  <c r="AI138" i="4"/>
  <c r="AJ138" i="4"/>
  <c r="H139" i="4"/>
  <c r="I139" i="4"/>
  <c r="J139" i="4"/>
  <c r="K139" i="4"/>
  <c r="L139" i="4"/>
  <c r="M139" i="4"/>
  <c r="N139" i="4"/>
  <c r="O139" i="4"/>
  <c r="P139" i="4"/>
  <c r="Q139" i="4"/>
  <c r="R139" i="4"/>
  <c r="S139" i="4"/>
  <c r="T139" i="4"/>
  <c r="U139" i="4"/>
  <c r="V139" i="4"/>
  <c r="W139" i="4"/>
  <c r="X139" i="4"/>
  <c r="Y139" i="4"/>
  <c r="Z139" i="4"/>
  <c r="AA139" i="4"/>
  <c r="AB139" i="4"/>
  <c r="AC139" i="4"/>
  <c r="AD139" i="4"/>
  <c r="AE139" i="4"/>
  <c r="AF139" i="4"/>
  <c r="AG139" i="4"/>
  <c r="AH139" i="4"/>
  <c r="AI139" i="4"/>
  <c r="AJ139" i="4"/>
  <c r="H140" i="4"/>
  <c r="I140" i="4"/>
  <c r="J140" i="4"/>
  <c r="K140" i="4"/>
  <c r="L140" i="4"/>
  <c r="M140" i="4"/>
  <c r="N140" i="4"/>
  <c r="O140" i="4"/>
  <c r="P140" i="4"/>
  <c r="Q140" i="4"/>
  <c r="R140" i="4"/>
  <c r="S140" i="4"/>
  <c r="T140" i="4"/>
  <c r="U140" i="4"/>
  <c r="V140" i="4"/>
  <c r="W140" i="4"/>
  <c r="X140" i="4"/>
  <c r="Y140" i="4"/>
  <c r="Z140" i="4"/>
  <c r="AA140" i="4"/>
  <c r="AB140" i="4"/>
  <c r="AC140" i="4"/>
  <c r="AD140" i="4"/>
  <c r="AE140" i="4"/>
  <c r="AF140" i="4"/>
  <c r="AG140" i="4"/>
  <c r="AH140" i="4"/>
  <c r="AI140" i="4"/>
  <c r="AJ140" i="4"/>
  <c r="H141" i="4"/>
  <c r="I141" i="4"/>
  <c r="J141" i="4"/>
  <c r="K141" i="4"/>
  <c r="L141" i="4"/>
  <c r="M141" i="4"/>
  <c r="N141" i="4"/>
  <c r="O141" i="4"/>
  <c r="P141" i="4"/>
  <c r="Q141" i="4"/>
  <c r="R141" i="4"/>
  <c r="S141" i="4"/>
  <c r="T141" i="4"/>
  <c r="U141" i="4"/>
  <c r="V141" i="4"/>
  <c r="W141" i="4"/>
  <c r="X141" i="4"/>
  <c r="Y141" i="4"/>
  <c r="Z141" i="4"/>
  <c r="AA141" i="4"/>
  <c r="AB141" i="4"/>
  <c r="AC141" i="4"/>
  <c r="AD141" i="4"/>
  <c r="AE141" i="4"/>
  <c r="AF141" i="4"/>
  <c r="AG141" i="4"/>
  <c r="AH141" i="4"/>
  <c r="AI141" i="4"/>
  <c r="AJ141" i="4"/>
  <c r="H142" i="4"/>
  <c r="I142" i="4"/>
  <c r="J142" i="4"/>
  <c r="K142" i="4"/>
  <c r="L142" i="4"/>
  <c r="M142" i="4"/>
  <c r="N142" i="4"/>
  <c r="O142" i="4"/>
  <c r="P142" i="4"/>
  <c r="Q142" i="4"/>
  <c r="R142" i="4"/>
  <c r="S142" i="4"/>
  <c r="T142" i="4"/>
  <c r="U142" i="4"/>
  <c r="V142" i="4"/>
  <c r="W142" i="4"/>
  <c r="X142" i="4"/>
  <c r="Y142" i="4"/>
  <c r="Z142" i="4"/>
  <c r="AA142" i="4"/>
  <c r="AB142" i="4"/>
  <c r="AC142" i="4"/>
  <c r="AD142" i="4"/>
  <c r="AE142" i="4"/>
  <c r="AF142" i="4"/>
  <c r="AG142" i="4"/>
  <c r="AH142" i="4"/>
  <c r="AI142" i="4"/>
  <c r="AJ142" i="4"/>
  <c r="H143" i="4"/>
  <c r="I143" i="4"/>
  <c r="J143" i="4"/>
  <c r="K143" i="4"/>
  <c r="L143" i="4"/>
  <c r="M143" i="4"/>
  <c r="N143" i="4"/>
  <c r="O143" i="4"/>
  <c r="P143" i="4"/>
  <c r="Q143" i="4"/>
  <c r="R143" i="4"/>
  <c r="S143" i="4"/>
  <c r="T143" i="4"/>
  <c r="U143" i="4"/>
  <c r="V143" i="4"/>
  <c r="W143" i="4"/>
  <c r="X143" i="4"/>
  <c r="Y143" i="4"/>
  <c r="Z143" i="4"/>
  <c r="AA143" i="4"/>
  <c r="AB143" i="4"/>
  <c r="AC143" i="4"/>
  <c r="AD143" i="4"/>
  <c r="AE143" i="4"/>
  <c r="AF143" i="4"/>
  <c r="AG143" i="4"/>
  <c r="AH143" i="4"/>
  <c r="AI143" i="4"/>
  <c r="AJ143" i="4"/>
  <c r="H144" i="4"/>
  <c r="I144" i="4"/>
  <c r="J144" i="4"/>
  <c r="K144" i="4"/>
  <c r="L144" i="4"/>
  <c r="M144" i="4"/>
  <c r="N144" i="4"/>
  <c r="O144" i="4"/>
  <c r="P144" i="4"/>
  <c r="Q144" i="4"/>
  <c r="R144" i="4"/>
  <c r="S144" i="4"/>
  <c r="T144" i="4"/>
  <c r="U144" i="4"/>
  <c r="V144" i="4"/>
  <c r="W144" i="4"/>
  <c r="X144" i="4"/>
  <c r="Y144" i="4"/>
  <c r="Z144" i="4"/>
  <c r="AA144" i="4"/>
  <c r="AB144" i="4"/>
  <c r="AC144" i="4"/>
  <c r="AD144" i="4"/>
  <c r="AE144" i="4"/>
  <c r="AF144" i="4"/>
  <c r="AG144" i="4"/>
  <c r="AH144" i="4"/>
  <c r="AI144" i="4"/>
  <c r="AJ144" i="4"/>
  <c r="H145" i="4"/>
  <c r="I145" i="4"/>
  <c r="J145" i="4"/>
  <c r="K145" i="4"/>
  <c r="L145" i="4"/>
  <c r="M145" i="4"/>
  <c r="N145" i="4"/>
  <c r="O145" i="4"/>
  <c r="P145" i="4"/>
  <c r="Q145" i="4"/>
  <c r="R145" i="4"/>
  <c r="S145" i="4"/>
  <c r="T145" i="4"/>
  <c r="U145" i="4"/>
  <c r="V145" i="4"/>
  <c r="W145" i="4"/>
  <c r="X145" i="4"/>
  <c r="Y145" i="4"/>
  <c r="Z145" i="4"/>
  <c r="AA145" i="4"/>
  <c r="AB145" i="4"/>
  <c r="AC145" i="4"/>
  <c r="AD145" i="4"/>
  <c r="AE145" i="4"/>
  <c r="AF145" i="4"/>
  <c r="AG145" i="4"/>
  <c r="AH145" i="4"/>
  <c r="AI145" i="4"/>
  <c r="AJ145" i="4"/>
  <c r="H146" i="4"/>
  <c r="I146" i="4"/>
  <c r="J146" i="4"/>
  <c r="K146" i="4"/>
  <c r="L146" i="4"/>
  <c r="M146" i="4"/>
  <c r="N146" i="4"/>
  <c r="O146" i="4"/>
  <c r="P146" i="4"/>
  <c r="Q146" i="4"/>
  <c r="R146" i="4"/>
  <c r="S146" i="4"/>
  <c r="T146" i="4"/>
  <c r="U146" i="4"/>
  <c r="V146" i="4"/>
  <c r="W146" i="4"/>
  <c r="X146" i="4"/>
  <c r="Y146" i="4"/>
  <c r="Z146" i="4"/>
  <c r="AA146" i="4"/>
  <c r="AB146" i="4"/>
  <c r="AC146" i="4"/>
  <c r="AD146" i="4"/>
  <c r="AE146" i="4"/>
  <c r="AF146" i="4"/>
  <c r="AG146" i="4"/>
  <c r="AH146" i="4"/>
  <c r="AI146" i="4"/>
  <c r="AJ146" i="4"/>
  <c r="H147" i="4"/>
  <c r="I147" i="4"/>
  <c r="J147" i="4"/>
  <c r="K147" i="4"/>
  <c r="L147" i="4"/>
  <c r="M147" i="4"/>
  <c r="N147" i="4"/>
  <c r="O147" i="4"/>
  <c r="P147" i="4"/>
  <c r="Q147" i="4"/>
  <c r="R147" i="4"/>
  <c r="S147" i="4"/>
  <c r="T147" i="4"/>
  <c r="U147" i="4"/>
  <c r="V147" i="4"/>
  <c r="W147" i="4"/>
  <c r="X147" i="4"/>
  <c r="Y147" i="4"/>
  <c r="Z147" i="4"/>
  <c r="AA147" i="4"/>
  <c r="AB147" i="4"/>
  <c r="AC147" i="4"/>
  <c r="AD147" i="4"/>
  <c r="AE147" i="4"/>
  <c r="AF147" i="4"/>
  <c r="AG147" i="4"/>
  <c r="AH147" i="4"/>
  <c r="AI147" i="4"/>
  <c r="AJ147" i="4"/>
  <c r="H148" i="4"/>
  <c r="I148" i="4"/>
  <c r="J148" i="4"/>
  <c r="K148" i="4"/>
  <c r="L148" i="4"/>
  <c r="M148" i="4"/>
  <c r="N148" i="4"/>
  <c r="O148" i="4"/>
  <c r="P148" i="4"/>
  <c r="Q148" i="4"/>
  <c r="R148" i="4"/>
  <c r="S148" i="4"/>
  <c r="T148" i="4"/>
  <c r="U148" i="4"/>
  <c r="V148" i="4"/>
  <c r="W148" i="4"/>
  <c r="X148" i="4"/>
  <c r="Y148" i="4"/>
  <c r="Z148" i="4"/>
  <c r="AA148" i="4"/>
  <c r="AB148" i="4"/>
  <c r="AC148" i="4"/>
  <c r="AD148" i="4"/>
  <c r="AE148" i="4"/>
  <c r="AF148" i="4"/>
  <c r="AG148" i="4"/>
  <c r="AH148" i="4"/>
  <c r="AI148" i="4"/>
  <c r="AJ148" i="4"/>
  <c r="H149" i="4"/>
  <c r="I149" i="4"/>
  <c r="J149" i="4"/>
  <c r="K149" i="4"/>
  <c r="L149" i="4"/>
  <c r="M149" i="4"/>
  <c r="N149" i="4"/>
  <c r="O149" i="4"/>
  <c r="P149" i="4"/>
  <c r="Q149" i="4"/>
  <c r="R149" i="4"/>
  <c r="S149" i="4"/>
  <c r="T149" i="4"/>
  <c r="U149" i="4"/>
  <c r="V149" i="4"/>
  <c r="W149" i="4"/>
  <c r="X149" i="4"/>
  <c r="Y149" i="4"/>
  <c r="Z149" i="4"/>
  <c r="AA149" i="4"/>
  <c r="AB149" i="4"/>
  <c r="AC149" i="4"/>
  <c r="AD149" i="4"/>
  <c r="AE149" i="4"/>
  <c r="AF149" i="4"/>
  <c r="AG149" i="4"/>
  <c r="AH149" i="4"/>
  <c r="AI149" i="4"/>
  <c r="AJ149" i="4"/>
  <c r="H150" i="4"/>
  <c r="I150" i="4"/>
  <c r="J150" i="4"/>
  <c r="K150" i="4"/>
  <c r="L150" i="4"/>
  <c r="M150" i="4"/>
  <c r="N150" i="4"/>
  <c r="O150" i="4"/>
  <c r="P150" i="4"/>
  <c r="Q150" i="4"/>
  <c r="R150" i="4"/>
  <c r="S150" i="4"/>
  <c r="T150" i="4"/>
  <c r="U150" i="4"/>
  <c r="V150" i="4"/>
  <c r="W150" i="4"/>
  <c r="X150" i="4"/>
  <c r="Y150" i="4"/>
  <c r="Z150" i="4"/>
  <c r="AA150" i="4"/>
  <c r="AB150" i="4"/>
  <c r="AC150" i="4"/>
  <c r="AD150" i="4"/>
  <c r="AE150" i="4"/>
  <c r="AF150" i="4"/>
  <c r="AG150" i="4"/>
  <c r="AH150" i="4"/>
  <c r="AI150" i="4"/>
  <c r="AJ150" i="4"/>
  <c r="H151" i="4"/>
  <c r="I151" i="4"/>
  <c r="J151" i="4"/>
  <c r="K151" i="4"/>
  <c r="L151" i="4"/>
  <c r="M151" i="4"/>
  <c r="N151" i="4"/>
  <c r="O151" i="4"/>
  <c r="P151" i="4"/>
  <c r="Q151" i="4"/>
  <c r="R151" i="4"/>
  <c r="S151" i="4"/>
  <c r="T151" i="4"/>
  <c r="U151" i="4"/>
  <c r="V151" i="4"/>
  <c r="W151" i="4"/>
  <c r="X151" i="4"/>
  <c r="Y151" i="4"/>
  <c r="Z151" i="4"/>
  <c r="AA151" i="4"/>
  <c r="AB151" i="4"/>
  <c r="AC151" i="4"/>
  <c r="AD151" i="4"/>
  <c r="AE151" i="4"/>
  <c r="AF151" i="4"/>
  <c r="AG151" i="4"/>
  <c r="AH151" i="4"/>
  <c r="AI151" i="4"/>
  <c r="AJ151" i="4"/>
  <c r="H152" i="4"/>
  <c r="I152" i="4"/>
  <c r="J152" i="4"/>
  <c r="K152" i="4"/>
  <c r="L152" i="4"/>
  <c r="M152" i="4"/>
  <c r="N152" i="4"/>
  <c r="O152" i="4"/>
  <c r="P152" i="4"/>
  <c r="Q152" i="4"/>
  <c r="R152" i="4"/>
  <c r="S152" i="4"/>
  <c r="T152" i="4"/>
  <c r="U152" i="4"/>
  <c r="V152" i="4"/>
  <c r="W152" i="4"/>
  <c r="X152" i="4"/>
  <c r="Y152" i="4"/>
  <c r="Z152" i="4"/>
  <c r="AA152" i="4"/>
  <c r="AB152" i="4"/>
  <c r="AC152" i="4"/>
  <c r="AD152" i="4"/>
  <c r="AE152" i="4"/>
  <c r="AF152" i="4"/>
  <c r="AG152" i="4"/>
  <c r="AH152" i="4"/>
  <c r="AI152" i="4"/>
  <c r="AJ152" i="4"/>
  <c r="H153" i="4"/>
  <c r="I153" i="4"/>
  <c r="J153" i="4"/>
  <c r="K153" i="4"/>
  <c r="L153" i="4"/>
  <c r="M153" i="4"/>
  <c r="N153" i="4"/>
  <c r="O153" i="4"/>
  <c r="P153" i="4"/>
  <c r="Q153" i="4"/>
  <c r="R153" i="4"/>
  <c r="S153" i="4"/>
  <c r="T153" i="4"/>
  <c r="U153" i="4"/>
  <c r="V153" i="4"/>
  <c r="W153" i="4"/>
  <c r="X153" i="4"/>
  <c r="Y153" i="4"/>
  <c r="Z153" i="4"/>
  <c r="AA153" i="4"/>
  <c r="AB153" i="4"/>
  <c r="AC153" i="4"/>
  <c r="AD153" i="4"/>
  <c r="AE153" i="4"/>
  <c r="AF153" i="4"/>
  <c r="AG153" i="4"/>
  <c r="AH153" i="4"/>
  <c r="AI153" i="4"/>
  <c r="AJ153" i="4"/>
  <c r="H154" i="4"/>
  <c r="I154" i="4"/>
  <c r="J154" i="4"/>
  <c r="K154" i="4"/>
  <c r="L154" i="4"/>
  <c r="M154" i="4"/>
  <c r="N154" i="4"/>
  <c r="O154" i="4"/>
  <c r="P154" i="4"/>
  <c r="Q154" i="4"/>
  <c r="R154" i="4"/>
  <c r="S154" i="4"/>
  <c r="T154" i="4"/>
  <c r="U154" i="4"/>
  <c r="V154" i="4"/>
  <c r="W154" i="4"/>
  <c r="X154" i="4"/>
  <c r="Y154" i="4"/>
  <c r="Z154" i="4"/>
  <c r="AA154" i="4"/>
  <c r="AB154" i="4"/>
  <c r="AC154" i="4"/>
  <c r="AD154" i="4"/>
  <c r="AE154" i="4"/>
  <c r="AF154" i="4"/>
  <c r="AG154" i="4"/>
  <c r="AH154" i="4"/>
  <c r="AI154" i="4"/>
  <c r="AJ154" i="4"/>
  <c r="H155" i="4"/>
  <c r="I155" i="4"/>
  <c r="J155" i="4"/>
  <c r="K155" i="4"/>
  <c r="L155" i="4"/>
  <c r="M155" i="4"/>
  <c r="N155" i="4"/>
  <c r="O155" i="4"/>
  <c r="P155" i="4"/>
  <c r="Q155" i="4"/>
  <c r="R155" i="4"/>
  <c r="S155" i="4"/>
  <c r="T155" i="4"/>
  <c r="U155" i="4"/>
  <c r="V155" i="4"/>
  <c r="W155" i="4"/>
  <c r="X155" i="4"/>
  <c r="Y155" i="4"/>
  <c r="Z155" i="4"/>
  <c r="AA155" i="4"/>
  <c r="AB155" i="4"/>
  <c r="AC155" i="4"/>
  <c r="AD155" i="4"/>
  <c r="AE155" i="4"/>
  <c r="AF155" i="4"/>
  <c r="AG155" i="4"/>
  <c r="AH155" i="4"/>
  <c r="AI155" i="4"/>
  <c r="AJ155" i="4"/>
  <c r="H156" i="4"/>
  <c r="I156" i="4"/>
  <c r="J156" i="4"/>
  <c r="K156" i="4"/>
  <c r="L156" i="4"/>
  <c r="M156" i="4"/>
  <c r="N156" i="4"/>
  <c r="O156" i="4"/>
  <c r="P156" i="4"/>
  <c r="Q156" i="4"/>
  <c r="R156" i="4"/>
  <c r="S156" i="4"/>
  <c r="T156" i="4"/>
  <c r="U156" i="4"/>
  <c r="V156" i="4"/>
  <c r="W156" i="4"/>
  <c r="X156" i="4"/>
  <c r="Y156" i="4"/>
  <c r="Z156" i="4"/>
  <c r="AA156" i="4"/>
  <c r="AB156" i="4"/>
  <c r="AC156" i="4"/>
  <c r="AD156" i="4"/>
  <c r="AE156" i="4"/>
  <c r="AF156" i="4"/>
  <c r="AG156" i="4"/>
  <c r="AH156" i="4"/>
  <c r="AI156" i="4"/>
  <c r="AJ156" i="4"/>
  <c r="H157" i="4"/>
  <c r="I157" i="4"/>
  <c r="J157" i="4"/>
  <c r="K157" i="4"/>
  <c r="L157" i="4"/>
  <c r="M157" i="4"/>
  <c r="N157" i="4"/>
  <c r="O157" i="4"/>
  <c r="P157" i="4"/>
  <c r="Q157" i="4"/>
  <c r="R157" i="4"/>
  <c r="S157" i="4"/>
  <c r="T157" i="4"/>
  <c r="U157" i="4"/>
  <c r="V157" i="4"/>
  <c r="W157" i="4"/>
  <c r="X157" i="4"/>
  <c r="Y157" i="4"/>
  <c r="Z157" i="4"/>
  <c r="AA157" i="4"/>
  <c r="AB157" i="4"/>
  <c r="AC157" i="4"/>
  <c r="AD157" i="4"/>
  <c r="AE157" i="4"/>
  <c r="AF157" i="4"/>
  <c r="AG157" i="4"/>
  <c r="AH157" i="4"/>
  <c r="AI157" i="4"/>
  <c r="AJ157" i="4"/>
  <c r="H158" i="4"/>
  <c r="I158" i="4"/>
  <c r="J158" i="4"/>
  <c r="K158" i="4"/>
  <c r="L158" i="4"/>
  <c r="M158" i="4"/>
  <c r="N158" i="4"/>
  <c r="O158" i="4"/>
  <c r="P158" i="4"/>
  <c r="Q158" i="4"/>
  <c r="R158" i="4"/>
  <c r="S158" i="4"/>
  <c r="T158" i="4"/>
  <c r="U158" i="4"/>
  <c r="V158" i="4"/>
  <c r="W158" i="4"/>
  <c r="X158" i="4"/>
  <c r="Y158" i="4"/>
  <c r="Z158" i="4"/>
  <c r="AA158" i="4"/>
  <c r="AB158" i="4"/>
  <c r="AC158" i="4"/>
  <c r="AD158" i="4"/>
  <c r="AE158" i="4"/>
  <c r="AF158" i="4"/>
  <c r="AG158" i="4"/>
  <c r="AH158" i="4"/>
  <c r="AI158" i="4"/>
  <c r="AJ158" i="4"/>
  <c r="H159" i="4"/>
  <c r="I159" i="4"/>
  <c r="J159" i="4"/>
  <c r="K159" i="4"/>
  <c r="L159" i="4"/>
  <c r="M159" i="4"/>
  <c r="N159" i="4"/>
  <c r="O159" i="4"/>
  <c r="P159" i="4"/>
  <c r="Q159" i="4"/>
  <c r="R159" i="4"/>
  <c r="S159" i="4"/>
  <c r="T159" i="4"/>
  <c r="U159" i="4"/>
  <c r="V159" i="4"/>
  <c r="W159" i="4"/>
  <c r="X159" i="4"/>
  <c r="Y159" i="4"/>
  <c r="Z159" i="4"/>
  <c r="AA159" i="4"/>
  <c r="AB159" i="4"/>
  <c r="AC159" i="4"/>
  <c r="AD159" i="4"/>
  <c r="AE159" i="4"/>
  <c r="AF159" i="4"/>
  <c r="AG159" i="4"/>
  <c r="AH159" i="4"/>
  <c r="AI159" i="4"/>
  <c r="AJ159" i="4"/>
  <c r="H160" i="4"/>
  <c r="I160" i="4"/>
  <c r="J160" i="4"/>
  <c r="K160" i="4"/>
  <c r="L160" i="4"/>
  <c r="M160" i="4"/>
  <c r="N160" i="4"/>
  <c r="O160" i="4"/>
  <c r="P160" i="4"/>
  <c r="Q160" i="4"/>
  <c r="R160" i="4"/>
  <c r="S160" i="4"/>
  <c r="T160" i="4"/>
  <c r="U160" i="4"/>
  <c r="V160" i="4"/>
  <c r="W160" i="4"/>
  <c r="X160" i="4"/>
  <c r="Y160" i="4"/>
  <c r="Z160" i="4"/>
  <c r="AA160" i="4"/>
  <c r="AB160" i="4"/>
  <c r="AC160" i="4"/>
  <c r="AD160" i="4"/>
  <c r="AE160" i="4"/>
  <c r="AF160" i="4"/>
  <c r="AG160" i="4"/>
  <c r="AH160" i="4"/>
  <c r="AI160" i="4"/>
  <c r="AJ160" i="4"/>
  <c r="H161" i="4"/>
  <c r="I161" i="4"/>
  <c r="J161" i="4"/>
  <c r="K161" i="4"/>
  <c r="L161" i="4"/>
  <c r="M161" i="4"/>
  <c r="N161" i="4"/>
  <c r="O161" i="4"/>
  <c r="P161" i="4"/>
  <c r="Q161" i="4"/>
  <c r="R161" i="4"/>
  <c r="S161" i="4"/>
  <c r="T161" i="4"/>
  <c r="U161" i="4"/>
  <c r="V161" i="4"/>
  <c r="W161" i="4"/>
  <c r="X161" i="4"/>
  <c r="Y161" i="4"/>
  <c r="Z161" i="4"/>
  <c r="AA161" i="4"/>
  <c r="AB161" i="4"/>
  <c r="AC161" i="4"/>
  <c r="AD161" i="4"/>
  <c r="AE161" i="4"/>
  <c r="AF161" i="4"/>
  <c r="AG161" i="4"/>
  <c r="AH161" i="4"/>
  <c r="AI161" i="4"/>
  <c r="AJ161" i="4"/>
  <c r="H162" i="4"/>
  <c r="I162" i="4"/>
  <c r="J162" i="4"/>
  <c r="K162" i="4"/>
  <c r="L162" i="4"/>
  <c r="M162" i="4"/>
  <c r="N162" i="4"/>
  <c r="O162" i="4"/>
  <c r="P162" i="4"/>
  <c r="Q162" i="4"/>
  <c r="R162" i="4"/>
  <c r="S162" i="4"/>
  <c r="T162" i="4"/>
  <c r="U162" i="4"/>
  <c r="V162" i="4"/>
  <c r="W162" i="4"/>
  <c r="X162" i="4"/>
  <c r="Y162" i="4"/>
  <c r="Z162" i="4"/>
  <c r="AA162" i="4"/>
  <c r="AB162" i="4"/>
  <c r="AC162" i="4"/>
  <c r="AD162" i="4"/>
  <c r="AE162" i="4"/>
  <c r="AF162" i="4"/>
  <c r="AG162" i="4"/>
  <c r="AH162" i="4"/>
  <c r="AI162" i="4"/>
  <c r="AJ162" i="4"/>
  <c r="H163" i="4"/>
  <c r="I163" i="4"/>
  <c r="J163" i="4"/>
  <c r="K163" i="4"/>
  <c r="L163" i="4"/>
  <c r="M163" i="4"/>
  <c r="N163" i="4"/>
  <c r="O163" i="4"/>
  <c r="P163" i="4"/>
  <c r="Q163" i="4"/>
  <c r="R163" i="4"/>
  <c r="S163" i="4"/>
  <c r="T163" i="4"/>
  <c r="U163" i="4"/>
  <c r="V163" i="4"/>
  <c r="W163" i="4"/>
  <c r="X163" i="4"/>
  <c r="Y163" i="4"/>
  <c r="Z163" i="4"/>
  <c r="AA163" i="4"/>
  <c r="AB163" i="4"/>
  <c r="AC163" i="4"/>
  <c r="AD163" i="4"/>
  <c r="AE163" i="4"/>
  <c r="AF163" i="4"/>
  <c r="AG163" i="4"/>
  <c r="AH163" i="4"/>
  <c r="AI163" i="4"/>
  <c r="AJ163" i="4"/>
  <c r="H164" i="4"/>
  <c r="I164" i="4"/>
  <c r="J164" i="4"/>
  <c r="K164" i="4"/>
  <c r="L164" i="4"/>
  <c r="M164" i="4"/>
  <c r="N164" i="4"/>
  <c r="O164" i="4"/>
  <c r="P164" i="4"/>
  <c r="Q164" i="4"/>
  <c r="R164" i="4"/>
  <c r="S164" i="4"/>
  <c r="T164" i="4"/>
  <c r="U164" i="4"/>
  <c r="V164" i="4"/>
  <c r="W164" i="4"/>
  <c r="X164" i="4"/>
  <c r="Y164" i="4"/>
  <c r="Z164" i="4"/>
  <c r="AA164" i="4"/>
  <c r="AB164" i="4"/>
  <c r="AC164" i="4"/>
  <c r="AD164" i="4"/>
  <c r="AE164" i="4"/>
  <c r="AF164" i="4"/>
  <c r="AG164" i="4"/>
  <c r="AH164" i="4"/>
  <c r="AI164" i="4"/>
  <c r="AJ164" i="4"/>
  <c r="H165" i="4"/>
  <c r="I165" i="4"/>
  <c r="J165" i="4"/>
  <c r="K165" i="4"/>
  <c r="L165" i="4"/>
  <c r="M165" i="4"/>
  <c r="N165" i="4"/>
  <c r="O165" i="4"/>
  <c r="P165" i="4"/>
  <c r="Q165" i="4"/>
  <c r="R165" i="4"/>
  <c r="S165" i="4"/>
  <c r="T165" i="4"/>
  <c r="U165" i="4"/>
  <c r="V165" i="4"/>
  <c r="W165" i="4"/>
  <c r="X165" i="4"/>
  <c r="Y165" i="4"/>
  <c r="Z165" i="4"/>
  <c r="AA165" i="4"/>
  <c r="AB165" i="4"/>
  <c r="AC165" i="4"/>
  <c r="AD165" i="4"/>
  <c r="AE165" i="4"/>
  <c r="AF165" i="4"/>
  <c r="AG165" i="4"/>
  <c r="AH165" i="4"/>
  <c r="AI165" i="4"/>
  <c r="AJ165" i="4"/>
  <c r="H166" i="4"/>
  <c r="I166" i="4"/>
  <c r="J166" i="4"/>
  <c r="K166" i="4"/>
  <c r="L166" i="4"/>
  <c r="M166" i="4"/>
  <c r="N166" i="4"/>
  <c r="O166" i="4"/>
  <c r="P166" i="4"/>
  <c r="Q166" i="4"/>
  <c r="R166" i="4"/>
  <c r="S166" i="4"/>
  <c r="T166" i="4"/>
  <c r="U166" i="4"/>
  <c r="V166" i="4"/>
  <c r="W166" i="4"/>
  <c r="X166" i="4"/>
  <c r="Y166" i="4"/>
  <c r="Z166" i="4"/>
  <c r="AA166" i="4"/>
  <c r="AB166" i="4"/>
  <c r="AC166" i="4"/>
  <c r="AD166" i="4"/>
  <c r="AE166" i="4"/>
  <c r="AF166" i="4"/>
  <c r="AG166" i="4"/>
  <c r="AH166" i="4"/>
  <c r="AI166" i="4"/>
  <c r="AJ166" i="4"/>
  <c r="H167" i="4"/>
  <c r="I167" i="4"/>
  <c r="J167" i="4"/>
  <c r="K167" i="4"/>
  <c r="L167" i="4"/>
  <c r="M167" i="4"/>
  <c r="N167" i="4"/>
  <c r="O167" i="4"/>
  <c r="P167" i="4"/>
  <c r="Q167" i="4"/>
  <c r="R167" i="4"/>
  <c r="S167" i="4"/>
  <c r="T167" i="4"/>
  <c r="U167" i="4"/>
  <c r="V167" i="4"/>
  <c r="W167" i="4"/>
  <c r="X167" i="4"/>
  <c r="Y167" i="4"/>
  <c r="Z167" i="4"/>
  <c r="AA167" i="4"/>
  <c r="AB167" i="4"/>
  <c r="AC167" i="4"/>
  <c r="AD167" i="4"/>
  <c r="AE167" i="4"/>
  <c r="AF167" i="4"/>
  <c r="AG167" i="4"/>
  <c r="AH167" i="4"/>
  <c r="AI167" i="4"/>
  <c r="AJ167" i="4"/>
  <c r="H168" i="4"/>
  <c r="I168" i="4"/>
  <c r="J168" i="4"/>
  <c r="K168" i="4"/>
  <c r="L168" i="4"/>
  <c r="M168" i="4"/>
  <c r="N168" i="4"/>
  <c r="O168" i="4"/>
  <c r="P168" i="4"/>
  <c r="Q168" i="4"/>
  <c r="R168" i="4"/>
  <c r="S168" i="4"/>
  <c r="T168" i="4"/>
  <c r="U168" i="4"/>
  <c r="V168" i="4"/>
  <c r="W168" i="4"/>
  <c r="X168" i="4"/>
  <c r="Y168" i="4"/>
  <c r="Z168" i="4"/>
  <c r="AA168" i="4"/>
  <c r="AB168" i="4"/>
  <c r="AC168" i="4"/>
  <c r="AD168" i="4"/>
  <c r="AE168" i="4"/>
  <c r="AF168" i="4"/>
  <c r="AG168" i="4"/>
  <c r="AH168" i="4"/>
  <c r="AI168" i="4"/>
  <c r="AJ168" i="4"/>
  <c r="H169" i="4"/>
  <c r="I169" i="4"/>
  <c r="J169" i="4"/>
  <c r="K169" i="4"/>
  <c r="L169" i="4"/>
  <c r="M169" i="4"/>
  <c r="N169" i="4"/>
  <c r="O169" i="4"/>
  <c r="P169" i="4"/>
  <c r="Q169" i="4"/>
  <c r="R169" i="4"/>
  <c r="S169" i="4"/>
  <c r="T169" i="4"/>
  <c r="U169" i="4"/>
  <c r="V169" i="4"/>
  <c r="W169" i="4"/>
  <c r="X169" i="4"/>
  <c r="Y169" i="4"/>
  <c r="Z169" i="4"/>
  <c r="AA169" i="4"/>
  <c r="AB169" i="4"/>
  <c r="AC169" i="4"/>
  <c r="AD169" i="4"/>
  <c r="AE169" i="4"/>
  <c r="AF169" i="4"/>
  <c r="AG169" i="4"/>
  <c r="AH169" i="4"/>
  <c r="AI169" i="4"/>
  <c r="AJ169" i="4"/>
  <c r="H170" i="4"/>
  <c r="I170" i="4"/>
  <c r="J170" i="4"/>
  <c r="K170" i="4"/>
  <c r="L170" i="4"/>
  <c r="M170" i="4"/>
  <c r="N170" i="4"/>
  <c r="O170" i="4"/>
  <c r="P170" i="4"/>
  <c r="Q170" i="4"/>
  <c r="R170" i="4"/>
  <c r="S170" i="4"/>
  <c r="T170" i="4"/>
  <c r="U170" i="4"/>
  <c r="V170" i="4"/>
  <c r="W170" i="4"/>
  <c r="X170" i="4"/>
  <c r="Y170" i="4"/>
  <c r="Z170" i="4"/>
  <c r="AA170" i="4"/>
  <c r="AB170" i="4"/>
  <c r="AC170" i="4"/>
  <c r="AD170" i="4"/>
  <c r="AE170" i="4"/>
  <c r="AF170" i="4"/>
  <c r="AG170" i="4"/>
  <c r="AH170" i="4"/>
  <c r="AI170" i="4"/>
  <c r="AJ170" i="4"/>
  <c r="H171" i="4"/>
  <c r="I171" i="4"/>
  <c r="J171" i="4"/>
  <c r="K171" i="4"/>
  <c r="L171" i="4"/>
  <c r="M171" i="4"/>
  <c r="N171" i="4"/>
  <c r="O171" i="4"/>
  <c r="P171" i="4"/>
  <c r="Q171" i="4"/>
  <c r="R171" i="4"/>
  <c r="S171" i="4"/>
  <c r="T171" i="4"/>
  <c r="U171" i="4"/>
  <c r="V171" i="4"/>
  <c r="W171" i="4"/>
  <c r="X171" i="4"/>
  <c r="Y171" i="4"/>
  <c r="Z171" i="4"/>
  <c r="AA171" i="4"/>
  <c r="AB171" i="4"/>
  <c r="AC171" i="4"/>
  <c r="AD171" i="4"/>
  <c r="AE171" i="4"/>
  <c r="AF171" i="4"/>
  <c r="AG171" i="4"/>
  <c r="AH171" i="4"/>
  <c r="AI171" i="4"/>
  <c r="AJ171" i="4"/>
  <c r="H172" i="4"/>
  <c r="I172" i="4"/>
  <c r="J172" i="4"/>
  <c r="K172" i="4"/>
  <c r="L172" i="4"/>
  <c r="M172" i="4"/>
  <c r="N172" i="4"/>
  <c r="O172" i="4"/>
  <c r="P172" i="4"/>
  <c r="Q172" i="4"/>
  <c r="R172" i="4"/>
  <c r="S172" i="4"/>
  <c r="T172" i="4"/>
  <c r="U172" i="4"/>
  <c r="V172" i="4"/>
  <c r="W172" i="4"/>
  <c r="X172" i="4"/>
  <c r="Y172" i="4"/>
  <c r="Z172" i="4"/>
  <c r="AA172" i="4"/>
  <c r="AB172" i="4"/>
  <c r="AC172" i="4"/>
  <c r="AD172" i="4"/>
  <c r="AE172" i="4"/>
  <c r="AF172" i="4"/>
  <c r="AG172" i="4"/>
  <c r="AH172" i="4"/>
  <c r="AI172" i="4"/>
  <c r="AJ172" i="4"/>
  <c r="H173" i="4"/>
  <c r="I173" i="4"/>
  <c r="J173" i="4"/>
  <c r="K173" i="4"/>
  <c r="L173" i="4"/>
  <c r="M173" i="4"/>
  <c r="N173" i="4"/>
  <c r="O173" i="4"/>
  <c r="P173" i="4"/>
  <c r="Q173" i="4"/>
  <c r="R173" i="4"/>
  <c r="S173" i="4"/>
  <c r="T173" i="4"/>
  <c r="U173" i="4"/>
  <c r="V173" i="4"/>
  <c r="W173" i="4"/>
  <c r="X173" i="4"/>
  <c r="Y173" i="4"/>
  <c r="Z173" i="4"/>
  <c r="AA173" i="4"/>
  <c r="AB173" i="4"/>
  <c r="AC173" i="4"/>
  <c r="AD173" i="4"/>
  <c r="AE173" i="4"/>
  <c r="AF173" i="4"/>
  <c r="AG173" i="4"/>
  <c r="AH173" i="4"/>
  <c r="AI173" i="4"/>
  <c r="AJ173" i="4"/>
  <c r="H174" i="4"/>
  <c r="I174" i="4"/>
  <c r="J174" i="4"/>
  <c r="K174" i="4"/>
  <c r="L174" i="4"/>
  <c r="M174" i="4"/>
  <c r="N174" i="4"/>
  <c r="O174" i="4"/>
  <c r="P174" i="4"/>
  <c r="Q174" i="4"/>
  <c r="R174" i="4"/>
  <c r="S174" i="4"/>
  <c r="T174" i="4"/>
  <c r="U174" i="4"/>
  <c r="V174" i="4"/>
  <c r="W174" i="4"/>
  <c r="X174" i="4"/>
  <c r="Y174" i="4"/>
  <c r="Z174" i="4"/>
  <c r="AA174" i="4"/>
  <c r="AB174" i="4"/>
  <c r="AC174" i="4"/>
  <c r="AD174" i="4"/>
  <c r="AE174" i="4"/>
  <c r="AF174" i="4"/>
  <c r="AG174" i="4"/>
  <c r="AH174" i="4"/>
  <c r="AI174" i="4"/>
  <c r="AJ174" i="4"/>
  <c r="H175" i="4"/>
  <c r="I175" i="4"/>
  <c r="J175" i="4"/>
  <c r="K175" i="4"/>
  <c r="L175" i="4"/>
  <c r="M175" i="4"/>
  <c r="N175" i="4"/>
  <c r="O175" i="4"/>
  <c r="P175" i="4"/>
  <c r="Q175" i="4"/>
  <c r="R175" i="4"/>
  <c r="S175" i="4"/>
  <c r="T175" i="4"/>
  <c r="U175" i="4"/>
  <c r="V175" i="4"/>
  <c r="W175" i="4"/>
  <c r="X175" i="4"/>
  <c r="Y175" i="4"/>
  <c r="Z175" i="4"/>
  <c r="AA175" i="4"/>
  <c r="AB175" i="4"/>
  <c r="AC175" i="4"/>
  <c r="AD175" i="4"/>
  <c r="AE175" i="4"/>
  <c r="AF175" i="4"/>
  <c r="AG175" i="4"/>
  <c r="AH175" i="4"/>
  <c r="AI175" i="4"/>
  <c r="AJ175" i="4"/>
  <c r="H176" i="4"/>
  <c r="I176" i="4"/>
  <c r="J176" i="4"/>
  <c r="K176" i="4"/>
  <c r="L176" i="4"/>
  <c r="M176" i="4"/>
  <c r="N176" i="4"/>
  <c r="O176" i="4"/>
  <c r="P176" i="4"/>
  <c r="Q176" i="4"/>
  <c r="R176" i="4"/>
  <c r="S176" i="4"/>
  <c r="T176" i="4"/>
  <c r="U176" i="4"/>
  <c r="V176" i="4"/>
  <c r="W176" i="4"/>
  <c r="X176" i="4"/>
  <c r="Y176" i="4"/>
  <c r="Z176" i="4"/>
  <c r="AA176" i="4"/>
  <c r="AB176" i="4"/>
  <c r="AC176" i="4"/>
  <c r="AD176" i="4"/>
  <c r="AE176" i="4"/>
  <c r="AF176" i="4"/>
  <c r="AG176" i="4"/>
  <c r="AH176" i="4"/>
  <c r="AI176" i="4"/>
  <c r="AJ176" i="4"/>
  <c r="H177" i="4"/>
  <c r="I177" i="4"/>
  <c r="J177" i="4"/>
  <c r="K177" i="4"/>
  <c r="L177" i="4"/>
  <c r="M177" i="4"/>
  <c r="N177" i="4"/>
  <c r="O177" i="4"/>
  <c r="P177" i="4"/>
  <c r="Q177" i="4"/>
  <c r="R177" i="4"/>
  <c r="S177" i="4"/>
  <c r="T177" i="4"/>
  <c r="U177" i="4"/>
  <c r="V177" i="4"/>
  <c r="W177" i="4"/>
  <c r="X177" i="4"/>
  <c r="Y177" i="4"/>
  <c r="Z177" i="4"/>
  <c r="AA177" i="4"/>
  <c r="AB177" i="4"/>
  <c r="AC177" i="4"/>
  <c r="AD177" i="4"/>
  <c r="AE177" i="4"/>
  <c r="AF177" i="4"/>
  <c r="AG177" i="4"/>
  <c r="AH177" i="4"/>
  <c r="AI177" i="4"/>
  <c r="AJ177" i="4"/>
  <c r="H178" i="4"/>
  <c r="I178" i="4"/>
  <c r="J178" i="4"/>
  <c r="K178" i="4"/>
  <c r="L178" i="4"/>
  <c r="M178" i="4"/>
  <c r="N178" i="4"/>
  <c r="O178" i="4"/>
  <c r="P178" i="4"/>
  <c r="Q178" i="4"/>
  <c r="R178" i="4"/>
  <c r="S178" i="4"/>
  <c r="T178" i="4"/>
  <c r="U178" i="4"/>
  <c r="V178" i="4"/>
  <c r="W178" i="4"/>
  <c r="X178" i="4"/>
  <c r="Y178" i="4"/>
  <c r="Z178" i="4"/>
  <c r="AA178" i="4"/>
  <c r="AB178" i="4"/>
  <c r="AC178" i="4"/>
  <c r="AD178" i="4"/>
  <c r="AE178" i="4"/>
  <c r="AF178" i="4"/>
  <c r="AG178" i="4"/>
  <c r="AH178" i="4"/>
  <c r="AI178" i="4"/>
  <c r="AJ178" i="4"/>
  <c r="H179" i="4"/>
  <c r="I179" i="4"/>
  <c r="J179" i="4"/>
  <c r="K179" i="4"/>
  <c r="L179" i="4"/>
  <c r="M179" i="4"/>
  <c r="N179" i="4"/>
  <c r="O179" i="4"/>
  <c r="P179" i="4"/>
  <c r="Q179" i="4"/>
  <c r="R179" i="4"/>
  <c r="S179" i="4"/>
  <c r="T179" i="4"/>
  <c r="U179" i="4"/>
  <c r="V179" i="4"/>
  <c r="W179" i="4"/>
  <c r="X179" i="4"/>
  <c r="Y179" i="4"/>
  <c r="Z179" i="4"/>
  <c r="AA179" i="4"/>
  <c r="AB179" i="4"/>
  <c r="AC179" i="4"/>
  <c r="AD179" i="4"/>
  <c r="AE179" i="4"/>
  <c r="AF179" i="4"/>
  <c r="AG179" i="4"/>
  <c r="AH179" i="4"/>
  <c r="AI179" i="4"/>
  <c r="AJ179" i="4"/>
  <c r="H180" i="4"/>
  <c r="I180" i="4"/>
  <c r="J180" i="4"/>
  <c r="K180" i="4"/>
  <c r="L180" i="4"/>
  <c r="M180" i="4"/>
  <c r="N180" i="4"/>
  <c r="O180" i="4"/>
  <c r="P180" i="4"/>
  <c r="Q180" i="4"/>
  <c r="R180" i="4"/>
  <c r="S180" i="4"/>
  <c r="T180" i="4"/>
  <c r="U180" i="4"/>
  <c r="V180" i="4"/>
  <c r="W180" i="4"/>
  <c r="X180" i="4"/>
  <c r="Y180" i="4"/>
  <c r="Z180" i="4"/>
  <c r="AA180" i="4"/>
  <c r="AB180" i="4"/>
  <c r="AC180" i="4"/>
  <c r="AD180" i="4"/>
  <c r="AE180" i="4"/>
  <c r="AF180" i="4"/>
  <c r="AG180" i="4"/>
  <c r="AH180" i="4"/>
  <c r="AI180" i="4"/>
  <c r="AJ180" i="4"/>
  <c r="H181" i="4"/>
  <c r="I181" i="4"/>
  <c r="J181" i="4"/>
  <c r="K181" i="4"/>
  <c r="L181" i="4"/>
  <c r="M181" i="4"/>
  <c r="N181" i="4"/>
  <c r="O181" i="4"/>
  <c r="P181" i="4"/>
  <c r="Q181" i="4"/>
  <c r="R181" i="4"/>
  <c r="S181" i="4"/>
  <c r="T181" i="4"/>
  <c r="U181" i="4"/>
  <c r="V181" i="4"/>
  <c r="W181" i="4"/>
  <c r="X181" i="4"/>
  <c r="Y181" i="4"/>
  <c r="Z181" i="4"/>
  <c r="AA181" i="4"/>
  <c r="AB181" i="4"/>
  <c r="AC181" i="4"/>
  <c r="AD181" i="4"/>
  <c r="AE181" i="4"/>
  <c r="AF181" i="4"/>
  <c r="AG181" i="4"/>
  <c r="AH181" i="4"/>
  <c r="AI181" i="4"/>
  <c r="AJ181" i="4"/>
  <c r="H182" i="4"/>
  <c r="I182" i="4"/>
  <c r="J182" i="4"/>
  <c r="K182" i="4"/>
  <c r="L182" i="4"/>
  <c r="M182" i="4"/>
  <c r="N182" i="4"/>
  <c r="O182" i="4"/>
  <c r="P182" i="4"/>
  <c r="Q182" i="4"/>
  <c r="R182" i="4"/>
  <c r="S182" i="4"/>
  <c r="T182" i="4"/>
  <c r="U182" i="4"/>
  <c r="V182" i="4"/>
  <c r="W182" i="4"/>
  <c r="X182" i="4"/>
  <c r="Y182" i="4"/>
  <c r="Z182" i="4"/>
  <c r="AA182" i="4"/>
  <c r="AB182" i="4"/>
  <c r="AC182" i="4"/>
  <c r="AD182" i="4"/>
  <c r="AE182" i="4"/>
  <c r="AF182" i="4"/>
  <c r="AG182" i="4"/>
  <c r="AH182" i="4"/>
  <c r="AI182" i="4"/>
  <c r="AJ182" i="4"/>
  <c r="H183" i="4"/>
  <c r="I183" i="4"/>
  <c r="J183" i="4"/>
  <c r="K183" i="4"/>
  <c r="L183" i="4"/>
  <c r="M183" i="4"/>
  <c r="N183" i="4"/>
  <c r="O183" i="4"/>
  <c r="P183" i="4"/>
  <c r="Q183" i="4"/>
  <c r="R183" i="4"/>
  <c r="S183" i="4"/>
  <c r="T183" i="4"/>
  <c r="U183" i="4"/>
  <c r="V183" i="4"/>
  <c r="W183" i="4"/>
  <c r="X183" i="4"/>
  <c r="Y183" i="4"/>
  <c r="Z183" i="4"/>
  <c r="AA183" i="4"/>
  <c r="AB183" i="4"/>
  <c r="AC183" i="4"/>
  <c r="AD183" i="4"/>
  <c r="AE183" i="4"/>
  <c r="AF183" i="4"/>
  <c r="AG183" i="4"/>
  <c r="AH183" i="4"/>
  <c r="AI183" i="4"/>
  <c r="AJ183" i="4"/>
  <c r="H184" i="4"/>
  <c r="I184" i="4"/>
  <c r="J184" i="4"/>
  <c r="K184" i="4"/>
  <c r="L184" i="4"/>
  <c r="M184" i="4"/>
  <c r="N184" i="4"/>
  <c r="O184" i="4"/>
  <c r="P184" i="4"/>
  <c r="Q184" i="4"/>
  <c r="R184" i="4"/>
  <c r="S184" i="4"/>
  <c r="T184" i="4"/>
  <c r="U184" i="4"/>
  <c r="V184" i="4"/>
  <c r="W184" i="4"/>
  <c r="X184" i="4"/>
  <c r="Y184" i="4"/>
  <c r="Z184" i="4"/>
  <c r="AA184" i="4"/>
  <c r="AB184" i="4"/>
  <c r="AC184" i="4"/>
  <c r="AD184" i="4"/>
  <c r="AE184" i="4"/>
  <c r="AF184" i="4"/>
  <c r="AG184" i="4"/>
  <c r="AH184" i="4"/>
  <c r="AI184" i="4"/>
  <c r="AJ184" i="4"/>
  <c r="H185" i="4"/>
  <c r="I185" i="4"/>
  <c r="J185" i="4"/>
  <c r="K185" i="4"/>
  <c r="L185" i="4"/>
  <c r="M185" i="4"/>
  <c r="N185" i="4"/>
  <c r="O185" i="4"/>
  <c r="P185" i="4"/>
  <c r="Q185" i="4"/>
  <c r="R185" i="4"/>
  <c r="S185" i="4"/>
  <c r="T185" i="4"/>
  <c r="U185" i="4"/>
  <c r="V185" i="4"/>
  <c r="W185" i="4"/>
  <c r="X185" i="4"/>
  <c r="Y185" i="4"/>
  <c r="Z185" i="4"/>
  <c r="AA185" i="4"/>
  <c r="AB185" i="4"/>
  <c r="AC185" i="4"/>
  <c r="AD185" i="4"/>
  <c r="AE185" i="4"/>
  <c r="AF185" i="4"/>
  <c r="AG185" i="4"/>
  <c r="AH185" i="4"/>
  <c r="AI185" i="4"/>
  <c r="AJ185" i="4"/>
  <c r="H186" i="4"/>
  <c r="I186" i="4"/>
  <c r="J186" i="4"/>
  <c r="K186" i="4"/>
  <c r="L186" i="4"/>
  <c r="M186" i="4"/>
  <c r="N186" i="4"/>
  <c r="O186" i="4"/>
  <c r="P186" i="4"/>
  <c r="Q186" i="4"/>
  <c r="R186" i="4"/>
  <c r="S186" i="4"/>
  <c r="T186" i="4"/>
  <c r="U186" i="4"/>
  <c r="V186" i="4"/>
  <c r="W186" i="4"/>
  <c r="X186" i="4"/>
  <c r="Y186" i="4"/>
  <c r="Z186" i="4"/>
  <c r="AA186" i="4"/>
  <c r="AB186" i="4"/>
  <c r="AC186" i="4"/>
  <c r="AD186" i="4"/>
  <c r="AE186" i="4"/>
  <c r="AF186" i="4"/>
  <c r="AG186" i="4"/>
  <c r="AH186" i="4"/>
  <c r="AI186" i="4"/>
  <c r="AJ186" i="4"/>
  <c r="H187" i="4"/>
  <c r="I187" i="4"/>
  <c r="J187" i="4"/>
  <c r="K187" i="4"/>
  <c r="L187" i="4"/>
  <c r="M187" i="4"/>
  <c r="N187" i="4"/>
  <c r="O187" i="4"/>
  <c r="P187" i="4"/>
  <c r="Q187" i="4"/>
  <c r="R187" i="4"/>
  <c r="S187" i="4"/>
  <c r="T187" i="4"/>
  <c r="U187" i="4"/>
  <c r="V187" i="4"/>
  <c r="W187" i="4"/>
  <c r="X187" i="4"/>
  <c r="Y187" i="4"/>
  <c r="Z187" i="4"/>
  <c r="AA187" i="4"/>
  <c r="AB187" i="4"/>
  <c r="AC187" i="4"/>
  <c r="AD187" i="4"/>
  <c r="AE187" i="4"/>
  <c r="AF187" i="4"/>
  <c r="AG187" i="4"/>
  <c r="AH187" i="4"/>
  <c r="AI187" i="4"/>
  <c r="AJ187" i="4"/>
  <c r="H188" i="4"/>
  <c r="I188" i="4"/>
  <c r="J188" i="4"/>
  <c r="K188" i="4"/>
  <c r="L188" i="4"/>
  <c r="M188" i="4"/>
  <c r="N188" i="4"/>
  <c r="O188" i="4"/>
  <c r="P188" i="4"/>
  <c r="Q188" i="4"/>
  <c r="R188" i="4"/>
  <c r="S188" i="4"/>
  <c r="T188" i="4"/>
  <c r="U188" i="4"/>
  <c r="V188" i="4"/>
  <c r="W188" i="4"/>
  <c r="X188" i="4"/>
  <c r="Y188" i="4"/>
  <c r="Z188" i="4"/>
  <c r="AA188" i="4"/>
  <c r="AB188" i="4"/>
  <c r="AC188" i="4"/>
  <c r="AD188" i="4"/>
  <c r="AE188" i="4"/>
  <c r="AF188" i="4"/>
  <c r="AG188" i="4"/>
  <c r="AH188" i="4"/>
  <c r="AI188" i="4"/>
  <c r="AJ188" i="4"/>
  <c r="H189" i="4"/>
  <c r="I189" i="4"/>
  <c r="J189" i="4"/>
  <c r="K189" i="4"/>
  <c r="L189" i="4"/>
  <c r="M189" i="4"/>
  <c r="N189" i="4"/>
  <c r="O189" i="4"/>
  <c r="P189" i="4"/>
  <c r="Q189" i="4"/>
  <c r="R189" i="4"/>
  <c r="S189" i="4"/>
  <c r="T189" i="4"/>
  <c r="U189" i="4"/>
  <c r="V189" i="4"/>
  <c r="W189" i="4"/>
  <c r="X189" i="4"/>
  <c r="Y189" i="4"/>
  <c r="Z189" i="4"/>
  <c r="AA189" i="4"/>
  <c r="AB189" i="4"/>
  <c r="AC189" i="4"/>
  <c r="AD189" i="4"/>
  <c r="AE189" i="4"/>
  <c r="AF189" i="4"/>
  <c r="AG189" i="4"/>
  <c r="AH189" i="4"/>
  <c r="AI189" i="4"/>
  <c r="AJ189" i="4"/>
  <c r="H190" i="4"/>
  <c r="I190" i="4"/>
  <c r="J190" i="4"/>
  <c r="K190" i="4"/>
  <c r="L190" i="4"/>
  <c r="M190" i="4"/>
  <c r="N190" i="4"/>
  <c r="O190" i="4"/>
  <c r="P190" i="4"/>
  <c r="Q190" i="4"/>
  <c r="R190" i="4"/>
  <c r="S190" i="4"/>
  <c r="T190" i="4"/>
  <c r="U190" i="4"/>
  <c r="V190" i="4"/>
  <c r="W190" i="4"/>
  <c r="X190" i="4"/>
  <c r="Y190" i="4"/>
  <c r="Z190" i="4"/>
  <c r="AA190" i="4"/>
  <c r="AB190" i="4"/>
  <c r="AC190" i="4"/>
  <c r="AD190" i="4"/>
  <c r="AE190" i="4"/>
  <c r="AF190" i="4"/>
  <c r="AG190" i="4"/>
  <c r="AH190" i="4"/>
  <c r="AI190" i="4"/>
  <c r="AJ190" i="4"/>
  <c r="H191" i="4"/>
  <c r="I191" i="4"/>
  <c r="J191" i="4"/>
  <c r="K191" i="4"/>
  <c r="L191" i="4"/>
  <c r="M191" i="4"/>
  <c r="N191" i="4"/>
  <c r="O191" i="4"/>
  <c r="P191" i="4"/>
  <c r="Q191" i="4"/>
  <c r="R191" i="4"/>
  <c r="S191" i="4"/>
  <c r="T191" i="4"/>
  <c r="U191" i="4"/>
  <c r="V191" i="4"/>
  <c r="W191" i="4"/>
  <c r="X191" i="4"/>
  <c r="Y191" i="4"/>
  <c r="Z191" i="4"/>
  <c r="AA191" i="4"/>
  <c r="AB191" i="4"/>
  <c r="AC191" i="4"/>
  <c r="AD191" i="4"/>
  <c r="AE191" i="4"/>
  <c r="AF191" i="4"/>
  <c r="AG191" i="4"/>
  <c r="AH191" i="4"/>
  <c r="AI191" i="4"/>
  <c r="AJ191" i="4"/>
  <c r="H192" i="4"/>
  <c r="I192" i="4"/>
  <c r="J192" i="4"/>
  <c r="K192" i="4"/>
  <c r="L192" i="4"/>
  <c r="M192" i="4"/>
  <c r="N192" i="4"/>
  <c r="O192" i="4"/>
  <c r="P192" i="4"/>
  <c r="Q192" i="4"/>
  <c r="R192" i="4"/>
  <c r="S192" i="4"/>
  <c r="T192" i="4"/>
  <c r="U192" i="4"/>
  <c r="V192" i="4"/>
  <c r="W192" i="4"/>
  <c r="X192" i="4"/>
  <c r="Y192" i="4"/>
  <c r="Z192" i="4"/>
  <c r="AA192" i="4"/>
  <c r="AB192" i="4"/>
  <c r="AC192" i="4"/>
  <c r="AD192" i="4"/>
  <c r="AE192" i="4"/>
  <c r="AF192" i="4"/>
  <c r="AG192" i="4"/>
  <c r="AH192" i="4"/>
  <c r="AI192" i="4"/>
  <c r="AJ192" i="4"/>
  <c r="H193" i="4"/>
  <c r="I193" i="4"/>
  <c r="J193" i="4"/>
  <c r="K193" i="4"/>
  <c r="L193" i="4"/>
  <c r="M193" i="4"/>
  <c r="N193" i="4"/>
  <c r="O193" i="4"/>
  <c r="P193" i="4"/>
  <c r="Q193" i="4"/>
  <c r="R193" i="4"/>
  <c r="S193" i="4"/>
  <c r="T193" i="4"/>
  <c r="U193" i="4"/>
  <c r="V193" i="4"/>
  <c r="W193" i="4"/>
  <c r="X193" i="4"/>
  <c r="Y193" i="4"/>
  <c r="Z193" i="4"/>
  <c r="AA193" i="4"/>
  <c r="AB193" i="4"/>
  <c r="AC193" i="4"/>
  <c r="AD193" i="4"/>
  <c r="AE193" i="4"/>
  <c r="AF193" i="4"/>
  <c r="AG193" i="4"/>
  <c r="AH193" i="4"/>
  <c r="AI193" i="4"/>
  <c r="AJ193" i="4"/>
  <c r="H194" i="4"/>
  <c r="I194" i="4"/>
  <c r="J194" i="4"/>
  <c r="K194" i="4"/>
  <c r="L194" i="4"/>
  <c r="M194" i="4"/>
  <c r="N194" i="4"/>
  <c r="O194" i="4"/>
  <c r="P194" i="4"/>
  <c r="Q194" i="4"/>
  <c r="R194" i="4"/>
  <c r="S194" i="4"/>
  <c r="T194" i="4"/>
  <c r="U194" i="4"/>
  <c r="V194" i="4"/>
  <c r="W194" i="4"/>
  <c r="X194" i="4"/>
  <c r="Y194" i="4"/>
  <c r="Z194" i="4"/>
  <c r="AA194" i="4"/>
  <c r="AB194" i="4"/>
  <c r="AC194" i="4"/>
  <c r="AD194" i="4"/>
  <c r="AE194" i="4"/>
  <c r="AF194" i="4"/>
  <c r="AG194" i="4"/>
  <c r="AH194" i="4"/>
  <c r="AI194" i="4"/>
  <c r="AJ194" i="4"/>
  <c r="H195" i="4"/>
  <c r="I195" i="4"/>
  <c r="J195" i="4"/>
  <c r="K195" i="4"/>
  <c r="L195" i="4"/>
  <c r="M195" i="4"/>
  <c r="N195" i="4"/>
  <c r="O195" i="4"/>
  <c r="P195" i="4"/>
  <c r="Q195" i="4"/>
  <c r="R195" i="4"/>
  <c r="S195" i="4"/>
  <c r="T195" i="4"/>
  <c r="U195" i="4"/>
  <c r="V195" i="4"/>
  <c r="W195" i="4"/>
  <c r="X195" i="4"/>
  <c r="Y195" i="4"/>
  <c r="Z195" i="4"/>
  <c r="AA195" i="4"/>
  <c r="AB195" i="4"/>
  <c r="AC195" i="4"/>
  <c r="AD195" i="4"/>
  <c r="AE195" i="4"/>
  <c r="AF195" i="4"/>
  <c r="AG195" i="4"/>
  <c r="AH195" i="4"/>
  <c r="AI195" i="4"/>
  <c r="AJ195" i="4"/>
  <c r="H196" i="4"/>
  <c r="I196" i="4"/>
  <c r="J196" i="4"/>
  <c r="K196" i="4"/>
  <c r="L196" i="4"/>
  <c r="M196" i="4"/>
  <c r="N196" i="4"/>
  <c r="O196" i="4"/>
  <c r="P196" i="4"/>
  <c r="Q196" i="4"/>
  <c r="R196" i="4"/>
  <c r="S196" i="4"/>
  <c r="T196" i="4"/>
  <c r="U196" i="4"/>
  <c r="V196" i="4"/>
  <c r="W196" i="4"/>
  <c r="X196" i="4"/>
  <c r="Y196" i="4"/>
  <c r="Z196" i="4"/>
  <c r="AA196" i="4"/>
  <c r="AB196" i="4"/>
  <c r="AC196" i="4"/>
  <c r="AD196" i="4"/>
  <c r="AE196" i="4"/>
  <c r="AF196" i="4"/>
  <c r="AG196" i="4"/>
  <c r="AH196" i="4"/>
  <c r="AI196" i="4"/>
  <c r="AJ196" i="4"/>
  <c r="H197" i="4"/>
  <c r="I197" i="4"/>
  <c r="J197" i="4"/>
  <c r="K197" i="4"/>
  <c r="L197" i="4"/>
  <c r="M197" i="4"/>
  <c r="N197" i="4"/>
  <c r="O197" i="4"/>
  <c r="P197" i="4"/>
  <c r="Q197" i="4"/>
  <c r="R197" i="4"/>
  <c r="S197" i="4"/>
  <c r="T197" i="4"/>
  <c r="U197" i="4"/>
  <c r="V197" i="4"/>
  <c r="W197" i="4"/>
  <c r="X197" i="4"/>
  <c r="Y197" i="4"/>
  <c r="Z197" i="4"/>
  <c r="AA197" i="4"/>
  <c r="AB197" i="4"/>
  <c r="AC197" i="4"/>
  <c r="AD197" i="4"/>
  <c r="AE197" i="4"/>
  <c r="AF197" i="4"/>
  <c r="AG197" i="4"/>
  <c r="AH197" i="4"/>
  <c r="AI197" i="4"/>
  <c r="AJ197" i="4"/>
  <c r="H198" i="4"/>
  <c r="I198" i="4"/>
  <c r="J198" i="4"/>
  <c r="K198" i="4"/>
  <c r="L198" i="4"/>
  <c r="M198" i="4"/>
  <c r="N198" i="4"/>
  <c r="O198" i="4"/>
  <c r="P198" i="4"/>
  <c r="Q198" i="4"/>
  <c r="R198" i="4"/>
  <c r="S198" i="4"/>
  <c r="T198" i="4"/>
  <c r="U198" i="4"/>
  <c r="V198" i="4"/>
  <c r="W198" i="4"/>
  <c r="X198" i="4"/>
  <c r="Y198" i="4"/>
  <c r="Z198" i="4"/>
  <c r="AA198" i="4"/>
  <c r="AB198" i="4"/>
  <c r="AC198" i="4"/>
  <c r="AD198" i="4"/>
  <c r="AE198" i="4"/>
  <c r="AF198" i="4"/>
  <c r="AG198" i="4"/>
  <c r="AH198" i="4"/>
  <c r="AI198" i="4"/>
  <c r="AJ198" i="4"/>
  <c r="H199" i="4"/>
  <c r="I199" i="4"/>
  <c r="J199" i="4"/>
  <c r="K199" i="4"/>
  <c r="L199" i="4"/>
  <c r="M199" i="4"/>
  <c r="N199" i="4"/>
  <c r="O199" i="4"/>
  <c r="P199" i="4"/>
  <c r="Q199" i="4"/>
  <c r="R199" i="4"/>
  <c r="S199" i="4"/>
  <c r="T199" i="4"/>
  <c r="U199" i="4"/>
  <c r="V199" i="4"/>
  <c r="W199" i="4"/>
  <c r="X199" i="4"/>
  <c r="Y199" i="4"/>
  <c r="Z199" i="4"/>
  <c r="AA199" i="4"/>
  <c r="AB199" i="4"/>
  <c r="AC199" i="4"/>
  <c r="AD199" i="4"/>
  <c r="AE199" i="4"/>
  <c r="AF199" i="4"/>
  <c r="AG199" i="4"/>
  <c r="AH199" i="4"/>
  <c r="AI199" i="4"/>
  <c r="AJ199" i="4"/>
  <c r="H200" i="4"/>
  <c r="I200" i="4"/>
  <c r="J200" i="4"/>
  <c r="K200" i="4"/>
  <c r="L200" i="4"/>
  <c r="M200" i="4"/>
  <c r="N200" i="4"/>
  <c r="O200" i="4"/>
  <c r="P200" i="4"/>
  <c r="Q200" i="4"/>
  <c r="R200" i="4"/>
  <c r="S200" i="4"/>
  <c r="T200" i="4"/>
  <c r="U200" i="4"/>
  <c r="V200" i="4"/>
  <c r="W200" i="4"/>
  <c r="X200" i="4"/>
  <c r="Y200" i="4"/>
  <c r="Z200" i="4"/>
  <c r="AA200" i="4"/>
  <c r="AB200" i="4"/>
  <c r="AC200" i="4"/>
  <c r="AD200" i="4"/>
  <c r="AE200" i="4"/>
  <c r="AF200" i="4"/>
  <c r="AG200" i="4"/>
  <c r="AH200" i="4"/>
  <c r="AI200" i="4"/>
  <c r="AJ200" i="4"/>
  <c r="H201" i="4"/>
  <c r="I201" i="4"/>
  <c r="J201" i="4"/>
  <c r="K201" i="4"/>
  <c r="L201" i="4"/>
  <c r="M201" i="4"/>
  <c r="N201" i="4"/>
  <c r="O201" i="4"/>
  <c r="P201" i="4"/>
  <c r="Q201" i="4"/>
  <c r="R201" i="4"/>
  <c r="S201" i="4"/>
  <c r="T201" i="4"/>
  <c r="U201" i="4"/>
  <c r="V201" i="4"/>
  <c r="W201" i="4"/>
  <c r="X201" i="4"/>
  <c r="Y201" i="4"/>
  <c r="Z201" i="4"/>
  <c r="AA201" i="4"/>
  <c r="AB201" i="4"/>
  <c r="AC201" i="4"/>
  <c r="AD201" i="4"/>
  <c r="AE201" i="4"/>
  <c r="AF201" i="4"/>
  <c r="AG201" i="4"/>
  <c r="AH201" i="4"/>
  <c r="AI201" i="4"/>
  <c r="AJ201" i="4"/>
  <c r="H202" i="4"/>
  <c r="I202" i="4"/>
  <c r="J202" i="4"/>
  <c r="K202" i="4"/>
  <c r="L202" i="4"/>
  <c r="M202" i="4"/>
  <c r="N202" i="4"/>
  <c r="O202" i="4"/>
  <c r="P202" i="4"/>
  <c r="Q202" i="4"/>
  <c r="R202" i="4"/>
  <c r="S202" i="4"/>
  <c r="T202" i="4"/>
  <c r="U202" i="4"/>
  <c r="V202" i="4"/>
  <c r="W202" i="4"/>
  <c r="X202" i="4"/>
  <c r="Y202" i="4"/>
  <c r="Z202" i="4"/>
  <c r="AA202" i="4"/>
  <c r="AB202" i="4"/>
  <c r="AC202" i="4"/>
  <c r="AD202" i="4"/>
  <c r="AE202" i="4"/>
  <c r="AF202" i="4"/>
  <c r="AG202" i="4"/>
  <c r="AH202" i="4"/>
  <c r="AI202" i="4"/>
  <c r="AJ202" i="4"/>
  <c r="H203" i="4"/>
  <c r="I203" i="4"/>
  <c r="J203" i="4"/>
  <c r="K203" i="4"/>
  <c r="L203" i="4"/>
  <c r="M203" i="4"/>
  <c r="N203" i="4"/>
  <c r="O203" i="4"/>
  <c r="P203" i="4"/>
  <c r="Q203" i="4"/>
  <c r="R203" i="4"/>
  <c r="S203" i="4"/>
  <c r="T203" i="4"/>
  <c r="U203" i="4"/>
  <c r="V203" i="4"/>
  <c r="W203" i="4"/>
  <c r="X203" i="4"/>
  <c r="Y203" i="4"/>
  <c r="Z203" i="4"/>
  <c r="AA203" i="4"/>
  <c r="AB203" i="4"/>
  <c r="AC203" i="4"/>
  <c r="AD203" i="4"/>
  <c r="AE203" i="4"/>
  <c r="AF203" i="4"/>
  <c r="AG203" i="4"/>
  <c r="AH203" i="4"/>
  <c r="AI203" i="4"/>
  <c r="AJ203" i="4"/>
  <c r="H204" i="4"/>
  <c r="I204" i="4"/>
  <c r="J204" i="4"/>
  <c r="K204" i="4"/>
  <c r="L204" i="4"/>
  <c r="M204" i="4"/>
  <c r="N204" i="4"/>
  <c r="O204" i="4"/>
  <c r="P204" i="4"/>
  <c r="Q204" i="4"/>
  <c r="R204" i="4"/>
  <c r="S204" i="4"/>
  <c r="T204" i="4"/>
  <c r="U204" i="4"/>
  <c r="V204" i="4"/>
  <c r="W204" i="4"/>
  <c r="X204" i="4"/>
  <c r="Y204" i="4"/>
  <c r="Z204" i="4"/>
  <c r="AA204" i="4"/>
  <c r="AB204" i="4"/>
  <c r="AC204" i="4"/>
  <c r="AD204" i="4"/>
  <c r="AE204" i="4"/>
  <c r="AF204" i="4"/>
  <c r="AG204" i="4"/>
  <c r="AH204" i="4"/>
  <c r="AI204" i="4"/>
  <c r="AJ204" i="4"/>
  <c r="H205" i="4"/>
  <c r="I205" i="4"/>
  <c r="J205" i="4"/>
  <c r="K205" i="4"/>
  <c r="L205" i="4"/>
  <c r="M205" i="4"/>
  <c r="N205" i="4"/>
  <c r="O205" i="4"/>
  <c r="P205" i="4"/>
  <c r="Q205" i="4"/>
  <c r="R205" i="4"/>
  <c r="S205" i="4"/>
  <c r="T205" i="4"/>
  <c r="U205" i="4"/>
  <c r="V205" i="4"/>
  <c r="W205" i="4"/>
  <c r="X205" i="4"/>
  <c r="Y205" i="4"/>
  <c r="Z205" i="4"/>
  <c r="AA205" i="4"/>
  <c r="AB205" i="4"/>
  <c r="AC205" i="4"/>
  <c r="AD205" i="4"/>
  <c r="AE205" i="4"/>
  <c r="AF205" i="4"/>
  <c r="AG205" i="4"/>
  <c r="AH205" i="4"/>
  <c r="AI205" i="4"/>
  <c r="AJ205" i="4"/>
  <c r="H206" i="4"/>
  <c r="I206" i="4"/>
  <c r="J206" i="4"/>
  <c r="K206" i="4"/>
  <c r="L206" i="4"/>
  <c r="M206" i="4"/>
  <c r="N206" i="4"/>
  <c r="O206" i="4"/>
  <c r="P206" i="4"/>
  <c r="Q206" i="4"/>
  <c r="R206" i="4"/>
  <c r="S206" i="4"/>
  <c r="T206" i="4"/>
  <c r="U206" i="4"/>
  <c r="V206" i="4"/>
  <c r="W206" i="4"/>
  <c r="X206" i="4"/>
  <c r="Y206" i="4"/>
  <c r="Z206" i="4"/>
  <c r="AA206" i="4"/>
  <c r="AB206" i="4"/>
  <c r="AC206" i="4"/>
  <c r="AD206" i="4"/>
  <c r="AE206" i="4"/>
  <c r="AF206" i="4"/>
  <c r="AG206" i="4"/>
  <c r="AH206" i="4"/>
  <c r="AI206" i="4"/>
  <c r="AJ206" i="4"/>
  <c r="H207" i="4"/>
  <c r="I207" i="4"/>
  <c r="J207" i="4"/>
  <c r="K207" i="4"/>
  <c r="L207" i="4"/>
  <c r="M207" i="4"/>
  <c r="N207" i="4"/>
  <c r="O207" i="4"/>
  <c r="P207" i="4"/>
  <c r="Q207" i="4"/>
  <c r="R207" i="4"/>
  <c r="S207" i="4"/>
  <c r="T207" i="4"/>
  <c r="U207" i="4"/>
  <c r="V207" i="4"/>
  <c r="W207" i="4"/>
  <c r="X207" i="4"/>
  <c r="Y207" i="4"/>
  <c r="Z207" i="4"/>
  <c r="AA207" i="4"/>
  <c r="AB207" i="4"/>
  <c r="AC207" i="4"/>
  <c r="AD207" i="4"/>
  <c r="AE207" i="4"/>
  <c r="AF207" i="4"/>
  <c r="AG207" i="4"/>
  <c r="AH207" i="4"/>
  <c r="AI207" i="4"/>
  <c r="AJ207" i="4"/>
  <c r="H208" i="4"/>
  <c r="I208" i="4"/>
  <c r="J208" i="4"/>
  <c r="K208" i="4"/>
  <c r="L208" i="4"/>
  <c r="M208" i="4"/>
  <c r="N208" i="4"/>
  <c r="O208" i="4"/>
  <c r="P208" i="4"/>
  <c r="Q208" i="4"/>
  <c r="R208" i="4"/>
  <c r="S208" i="4"/>
  <c r="T208" i="4"/>
  <c r="U208" i="4"/>
  <c r="V208" i="4"/>
  <c r="W208" i="4"/>
  <c r="X208" i="4"/>
  <c r="Y208" i="4"/>
  <c r="Z208" i="4"/>
  <c r="AA208" i="4"/>
  <c r="AB208" i="4"/>
  <c r="AC208" i="4"/>
  <c r="AD208" i="4"/>
  <c r="AE208" i="4"/>
  <c r="AF208" i="4"/>
  <c r="AG208" i="4"/>
  <c r="AH208" i="4"/>
  <c r="AI208" i="4"/>
  <c r="AJ208" i="4"/>
  <c r="H209" i="4"/>
  <c r="I209" i="4"/>
  <c r="J209" i="4"/>
  <c r="K209" i="4"/>
  <c r="L209" i="4"/>
  <c r="M209" i="4"/>
  <c r="N209" i="4"/>
  <c r="O209" i="4"/>
  <c r="P209" i="4"/>
  <c r="Q209" i="4"/>
  <c r="R209" i="4"/>
  <c r="S209" i="4"/>
  <c r="T209" i="4"/>
  <c r="U209" i="4"/>
  <c r="V209" i="4"/>
  <c r="W209" i="4"/>
  <c r="X209" i="4"/>
  <c r="Y209" i="4"/>
  <c r="Z209" i="4"/>
  <c r="AA209" i="4"/>
  <c r="AB209" i="4"/>
  <c r="AC209" i="4"/>
  <c r="AD209" i="4"/>
  <c r="AE209" i="4"/>
  <c r="AF209" i="4"/>
  <c r="AG209" i="4"/>
  <c r="AH209" i="4"/>
  <c r="AI209" i="4"/>
  <c r="AJ209" i="4"/>
  <c r="H210" i="4"/>
  <c r="I210" i="4"/>
  <c r="J210" i="4"/>
  <c r="K210" i="4"/>
  <c r="L210" i="4"/>
  <c r="M210" i="4"/>
  <c r="N210" i="4"/>
  <c r="O210" i="4"/>
  <c r="P210" i="4"/>
  <c r="Q210" i="4"/>
  <c r="R210" i="4"/>
  <c r="S210" i="4"/>
  <c r="T210" i="4"/>
  <c r="U210" i="4"/>
  <c r="V210" i="4"/>
  <c r="W210" i="4"/>
  <c r="X210" i="4"/>
  <c r="Y210" i="4"/>
  <c r="Z210" i="4"/>
  <c r="AA210" i="4"/>
  <c r="AB210" i="4"/>
  <c r="AC210" i="4"/>
  <c r="AD210" i="4"/>
  <c r="AE210" i="4"/>
  <c r="AF210" i="4"/>
  <c r="AG210" i="4"/>
  <c r="AH210" i="4"/>
  <c r="AI210" i="4"/>
  <c r="AJ210" i="4"/>
  <c r="H211" i="4"/>
  <c r="I211" i="4"/>
  <c r="J211" i="4"/>
  <c r="K211" i="4"/>
  <c r="L211" i="4"/>
  <c r="M211" i="4"/>
  <c r="N211" i="4"/>
  <c r="O211" i="4"/>
  <c r="P211" i="4"/>
  <c r="Q211" i="4"/>
  <c r="R211" i="4"/>
  <c r="S211" i="4"/>
  <c r="T211" i="4"/>
  <c r="U211" i="4"/>
  <c r="V211" i="4"/>
  <c r="W211" i="4"/>
  <c r="X211" i="4"/>
  <c r="Y211" i="4"/>
  <c r="Z211" i="4"/>
  <c r="AA211" i="4"/>
  <c r="AB211" i="4"/>
  <c r="AC211" i="4"/>
  <c r="AD211" i="4"/>
  <c r="AE211" i="4"/>
  <c r="AF211" i="4"/>
  <c r="AG211" i="4"/>
  <c r="AH211" i="4"/>
  <c r="AI211" i="4"/>
  <c r="AJ211" i="4"/>
  <c r="H212" i="4"/>
  <c r="I212" i="4"/>
  <c r="J212" i="4"/>
  <c r="K212" i="4"/>
  <c r="L212" i="4"/>
  <c r="M212" i="4"/>
  <c r="N212" i="4"/>
  <c r="O212" i="4"/>
  <c r="P212" i="4"/>
  <c r="Q212" i="4"/>
  <c r="R212" i="4"/>
  <c r="S212" i="4"/>
  <c r="T212" i="4"/>
  <c r="U212" i="4"/>
  <c r="V212" i="4"/>
  <c r="W212" i="4"/>
  <c r="X212" i="4"/>
  <c r="Y212" i="4"/>
  <c r="Z212" i="4"/>
  <c r="AA212" i="4"/>
  <c r="AB212" i="4"/>
  <c r="AC212" i="4"/>
  <c r="AD212" i="4"/>
  <c r="AE212" i="4"/>
  <c r="AF212" i="4"/>
  <c r="AG212" i="4"/>
  <c r="AH212" i="4"/>
  <c r="AI212" i="4"/>
  <c r="AJ212" i="4"/>
  <c r="H213" i="4"/>
  <c r="I213" i="4"/>
  <c r="J213" i="4"/>
  <c r="K213" i="4"/>
  <c r="L213" i="4"/>
  <c r="M213" i="4"/>
  <c r="N213" i="4"/>
  <c r="O213" i="4"/>
  <c r="P213" i="4"/>
  <c r="Q213" i="4"/>
  <c r="R213" i="4"/>
  <c r="S213" i="4"/>
  <c r="T213" i="4"/>
  <c r="U213" i="4"/>
  <c r="V213" i="4"/>
  <c r="W213" i="4"/>
  <c r="X213" i="4"/>
  <c r="Y213" i="4"/>
  <c r="Z213" i="4"/>
  <c r="AA213" i="4"/>
  <c r="AB213" i="4"/>
  <c r="AC213" i="4"/>
  <c r="AD213" i="4"/>
  <c r="AE213" i="4"/>
  <c r="AF213" i="4"/>
  <c r="AG213" i="4"/>
  <c r="AH213" i="4"/>
  <c r="AI213" i="4"/>
  <c r="AJ213" i="4"/>
  <c r="H214" i="4"/>
  <c r="I214" i="4"/>
  <c r="J214" i="4"/>
  <c r="K214" i="4"/>
  <c r="L214" i="4"/>
  <c r="M214" i="4"/>
  <c r="N214" i="4"/>
  <c r="O214" i="4"/>
  <c r="P214" i="4"/>
  <c r="Q214" i="4"/>
  <c r="R214" i="4"/>
  <c r="S214" i="4"/>
  <c r="T214" i="4"/>
  <c r="U214" i="4"/>
  <c r="V214" i="4"/>
  <c r="W214" i="4"/>
  <c r="X214" i="4"/>
  <c r="Y214" i="4"/>
  <c r="Z214" i="4"/>
  <c r="AA214" i="4"/>
  <c r="AB214" i="4"/>
  <c r="AC214" i="4"/>
  <c r="AD214" i="4"/>
  <c r="AE214" i="4"/>
  <c r="AF214" i="4"/>
  <c r="AG214" i="4"/>
  <c r="AH214" i="4"/>
  <c r="AI214" i="4"/>
  <c r="AJ214" i="4"/>
  <c r="H215" i="4"/>
  <c r="I215" i="4"/>
  <c r="J215" i="4"/>
  <c r="K215" i="4"/>
  <c r="L215" i="4"/>
  <c r="M215" i="4"/>
  <c r="N215" i="4"/>
  <c r="O215" i="4"/>
  <c r="P215" i="4"/>
  <c r="Q215" i="4"/>
  <c r="R215" i="4"/>
  <c r="S215" i="4"/>
  <c r="T215" i="4"/>
  <c r="U215" i="4"/>
  <c r="V215" i="4"/>
  <c r="W215" i="4"/>
  <c r="X215" i="4"/>
  <c r="Y215" i="4"/>
  <c r="Z215" i="4"/>
  <c r="AA215" i="4"/>
  <c r="AB215" i="4"/>
  <c r="AC215" i="4"/>
  <c r="AD215" i="4"/>
  <c r="AE215" i="4"/>
  <c r="AF215" i="4"/>
  <c r="AG215" i="4"/>
  <c r="AH215" i="4"/>
  <c r="AI215" i="4"/>
  <c r="AJ215" i="4"/>
  <c r="H216" i="4"/>
  <c r="I216" i="4"/>
  <c r="J216" i="4"/>
  <c r="K216" i="4"/>
  <c r="L216" i="4"/>
  <c r="M216" i="4"/>
  <c r="N216" i="4"/>
  <c r="O216" i="4"/>
  <c r="P216" i="4"/>
  <c r="Q216" i="4"/>
  <c r="R216" i="4"/>
  <c r="S216" i="4"/>
  <c r="T216" i="4"/>
  <c r="U216" i="4"/>
  <c r="V216" i="4"/>
  <c r="W216" i="4"/>
  <c r="X216" i="4"/>
  <c r="Y216" i="4"/>
  <c r="Z216" i="4"/>
  <c r="AA216" i="4"/>
  <c r="AB216" i="4"/>
  <c r="AC216" i="4"/>
  <c r="AD216" i="4"/>
  <c r="AE216" i="4"/>
  <c r="AF216" i="4"/>
  <c r="AG216" i="4"/>
  <c r="AH216" i="4"/>
  <c r="AI216" i="4"/>
  <c r="AJ216" i="4"/>
  <c r="H217" i="4"/>
  <c r="I217" i="4"/>
  <c r="J217" i="4"/>
  <c r="K217" i="4"/>
  <c r="L217" i="4"/>
  <c r="M217" i="4"/>
  <c r="N217" i="4"/>
  <c r="O217" i="4"/>
  <c r="P217" i="4"/>
  <c r="Q217" i="4"/>
  <c r="R217" i="4"/>
  <c r="S217" i="4"/>
  <c r="T217" i="4"/>
  <c r="U217" i="4"/>
  <c r="V217" i="4"/>
  <c r="W217" i="4"/>
  <c r="X217" i="4"/>
  <c r="Y217" i="4"/>
  <c r="Z217" i="4"/>
  <c r="AA217" i="4"/>
  <c r="AB217" i="4"/>
  <c r="AC217" i="4"/>
  <c r="AD217" i="4"/>
  <c r="AE217" i="4"/>
  <c r="AF217" i="4"/>
  <c r="AG217" i="4"/>
  <c r="AH217" i="4"/>
  <c r="AI217" i="4"/>
  <c r="AJ217" i="4"/>
  <c r="H218" i="4"/>
  <c r="I218" i="4"/>
  <c r="J218" i="4"/>
  <c r="K218" i="4"/>
  <c r="L218" i="4"/>
  <c r="M218" i="4"/>
  <c r="N218" i="4"/>
  <c r="O218" i="4"/>
  <c r="P218" i="4"/>
  <c r="Q218" i="4"/>
  <c r="R218" i="4"/>
  <c r="S218" i="4"/>
  <c r="T218" i="4"/>
  <c r="U218" i="4"/>
  <c r="V218" i="4"/>
  <c r="W218" i="4"/>
  <c r="X218" i="4"/>
  <c r="Y218" i="4"/>
  <c r="Z218" i="4"/>
  <c r="AA218" i="4"/>
  <c r="AB218" i="4"/>
  <c r="AC218" i="4"/>
  <c r="AD218" i="4"/>
  <c r="AE218" i="4"/>
  <c r="AF218" i="4"/>
  <c r="AG218" i="4"/>
  <c r="AH218" i="4"/>
  <c r="AI218" i="4"/>
  <c r="AJ218" i="4"/>
  <c r="H219" i="4"/>
  <c r="I219" i="4"/>
  <c r="J219" i="4"/>
  <c r="K219" i="4"/>
  <c r="L219" i="4"/>
  <c r="M219" i="4"/>
  <c r="N219" i="4"/>
  <c r="O219" i="4"/>
  <c r="P219" i="4"/>
  <c r="Q219" i="4"/>
  <c r="R219" i="4"/>
  <c r="S219" i="4"/>
  <c r="T219" i="4"/>
  <c r="U219" i="4"/>
  <c r="V219" i="4"/>
  <c r="W219" i="4"/>
  <c r="X219" i="4"/>
  <c r="Y219" i="4"/>
  <c r="Z219" i="4"/>
  <c r="AA219" i="4"/>
  <c r="AB219" i="4"/>
  <c r="AC219" i="4"/>
  <c r="AD219" i="4"/>
  <c r="AE219" i="4"/>
  <c r="AF219" i="4"/>
  <c r="AG219" i="4"/>
  <c r="AH219" i="4"/>
  <c r="AI219" i="4"/>
  <c r="AJ219" i="4"/>
  <c r="H220" i="4"/>
  <c r="I220" i="4"/>
  <c r="J220" i="4"/>
  <c r="K220" i="4"/>
  <c r="L220" i="4"/>
  <c r="M220" i="4"/>
  <c r="N220" i="4"/>
  <c r="O220" i="4"/>
  <c r="P220" i="4"/>
  <c r="Q220" i="4"/>
  <c r="R220" i="4"/>
  <c r="S220" i="4"/>
  <c r="T220" i="4"/>
  <c r="U220" i="4"/>
  <c r="V220" i="4"/>
  <c r="W220" i="4"/>
  <c r="X220" i="4"/>
  <c r="Y220" i="4"/>
  <c r="Z220" i="4"/>
  <c r="AA220" i="4"/>
  <c r="AB220" i="4"/>
  <c r="AC220" i="4"/>
  <c r="AD220" i="4"/>
  <c r="AE220" i="4"/>
  <c r="AF220" i="4"/>
  <c r="AG220" i="4"/>
  <c r="AH220" i="4"/>
  <c r="AI220" i="4"/>
  <c r="AJ220" i="4"/>
  <c r="H221" i="4"/>
  <c r="I221" i="4"/>
  <c r="J221" i="4"/>
  <c r="K221" i="4"/>
  <c r="L221" i="4"/>
  <c r="M221" i="4"/>
  <c r="N221" i="4"/>
  <c r="O221" i="4"/>
  <c r="P221" i="4"/>
  <c r="Q221" i="4"/>
  <c r="R221" i="4"/>
  <c r="S221" i="4"/>
  <c r="T221" i="4"/>
  <c r="U221" i="4"/>
  <c r="V221" i="4"/>
  <c r="W221" i="4"/>
  <c r="X221" i="4"/>
  <c r="Y221" i="4"/>
  <c r="Z221" i="4"/>
  <c r="AA221" i="4"/>
  <c r="AB221" i="4"/>
  <c r="AC221" i="4"/>
  <c r="AD221" i="4"/>
  <c r="AE221" i="4"/>
  <c r="AF221" i="4"/>
  <c r="AG221" i="4"/>
  <c r="AH221" i="4"/>
  <c r="AI221" i="4"/>
  <c r="AJ221" i="4"/>
  <c r="H222" i="4"/>
  <c r="I222" i="4"/>
  <c r="J222" i="4"/>
  <c r="K222" i="4"/>
  <c r="L222" i="4"/>
  <c r="M222" i="4"/>
  <c r="N222" i="4"/>
  <c r="O222" i="4"/>
  <c r="P222" i="4"/>
  <c r="Q222" i="4"/>
  <c r="R222" i="4"/>
  <c r="S222" i="4"/>
  <c r="T222" i="4"/>
  <c r="U222" i="4"/>
  <c r="V222" i="4"/>
  <c r="W222" i="4"/>
  <c r="X222" i="4"/>
  <c r="Y222" i="4"/>
  <c r="Z222" i="4"/>
  <c r="AA222" i="4"/>
  <c r="AB222" i="4"/>
  <c r="AC222" i="4"/>
  <c r="AD222" i="4"/>
  <c r="AE222" i="4"/>
  <c r="AF222" i="4"/>
  <c r="AG222" i="4"/>
  <c r="AH222" i="4"/>
  <c r="AI222" i="4"/>
  <c r="AJ222" i="4"/>
  <c r="H223" i="4"/>
  <c r="I223" i="4"/>
  <c r="J223" i="4"/>
  <c r="K223" i="4"/>
  <c r="L223" i="4"/>
  <c r="M223" i="4"/>
  <c r="N223" i="4"/>
  <c r="O223" i="4"/>
  <c r="P223" i="4"/>
  <c r="Q223" i="4"/>
  <c r="R223" i="4"/>
  <c r="S223" i="4"/>
  <c r="T223" i="4"/>
  <c r="U223" i="4"/>
  <c r="V223" i="4"/>
  <c r="W223" i="4"/>
  <c r="X223" i="4"/>
  <c r="Y223" i="4"/>
  <c r="Z223" i="4"/>
  <c r="AA223" i="4"/>
  <c r="AB223" i="4"/>
  <c r="AC223" i="4"/>
  <c r="AD223" i="4"/>
  <c r="AE223" i="4"/>
  <c r="AF223" i="4"/>
  <c r="AG223" i="4"/>
  <c r="AH223" i="4"/>
  <c r="AI223" i="4"/>
  <c r="AJ223" i="4"/>
  <c r="H224" i="4"/>
  <c r="I224" i="4"/>
  <c r="J224" i="4"/>
  <c r="K224" i="4"/>
  <c r="L224" i="4"/>
  <c r="M224" i="4"/>
  <c r="N224" i="4"/>
  <c r="O224" i="4"/>
  <c r="P224" i="4"/>
  <c r="Q224" i="4"/>
  <c r="R224" i="4"/>
  <c r="S224" i="4"/>
  <c r="T224" i="4"/>
  <c r="U224" i="4"/>
  <c r="V224" i="4"/>
  <c r="W224" i="4"/>
  <c r="X224" i="4"/>
  <c r="Y224" i="4"/>
  <c r="Z224" i="4"/>
  <c r="AA224" i="4"/>
  <c r="AB224" i="4"/>
  <c r="AC224" i="4"/>
  <c r="AD224" i="4"/>
  <c r="AE224" i="4"/>
  <c r="AF224" i="4"/>
  <c r="AG224" i="4"/>
  <c r="AH224" i="4"/>
  <c r="AI224" i="4"/>
  <c r="AJ224" i="4"/>
  <c r="H225" i="4"/>
  <c r="I225" i="4"/>
  <c r="J225" i="4"/>
  <c r="K225" i="4"/>
  <c r="L225" i="4"/>
  <c r="M225" i="4"/>
  <c r="N225" i="4"/>
  <c r="O225" i="4"/>
  <c r="P225" i="4"/>
  <c r="Q225" i="4"/>
  <c r="R225" i="4"/>
  <c r="S225" i="4"/>
  <c r="T225" i="4"/>
  <c r="U225" i="4"/>
  <c r="V225" i="4"/>
  <c r="W225" i="4"/>
  <c r="X225" i="4"/>
  <c r="Y225" i="4"/>
  <c r="Z225" i="4"/>
  <c r="AA225" i="4"/>
  <c r="AB225" i="4"/>
  <c r="AC225" i="4"/>
  <c r="AD225" i="4"/>
  <c r="AE225" i="4"/>
  <c r="AF225" i="4"/>
  <c r="AG225" i="4"/>
  <c r="AH225" i="4"/>
  <c r="AI225" i="4"/>
  <c r="AJ225" i="4"/>
  <c r="H226" i="4"/>
  <c r="I226" i="4"/>
  <c r="J226" i="4"/>
  <c r="K226" i="4"/>
  <c r="L226" i="4"/>
  <c r="M226" i="4"/>
  <c r="N226" i="4"/>
  <c r="O226" i="4"/>
  <c r="P226" i="4"/>
  <c r="Q226" i="4"/>
  <c r="R226" i="4"/>
  <c r="S226" i="4"/>
  <c r="T226" i="4"/>
  <c r="U226" i="4"/>
  <c r="V226" i="4"/>
  <c r="W226" i="4"/>
  <c r="X226" i="4"/>
  <c r="Y226" i="4"/>
  <c r="Z226" i="4"/>
  <c r="AA226" i="4"/>
  <c r="AB226" i="4"/>
  <c r="AC226" i="4"/>
  <c r="AD226" i="4"/>
  <c r="AE226" i="4"/>
  <c r="AF226" i="4"/>
  <c r="AG226" i="4"/>
  <c r="AH226" i="4"/>
  <c r="AI226" i="4"/>
  <c r="AJ226" i="4"/>
  <c r="H227" i="4"/>
  <c r="I227" i="4"/>
  <c r="J227" i="4"/>
  <c r="K227" i="4"/>
  <c r="L227" i="4"/>
  <c r="M227" i="4"/>
  <c r="N227" i="4"/>
  <c r="O227" i="4"/>
  <c r="P227" i="4"/>
  <c r="Q227" i="4"/>
  <c r="R227" i="4"/>
  <c r="S227" i="4"/>
  <c r="T227" i="4"/>
  <c r="U227" i="4"/>
  <c r="V227" i="4"/>
  <c r="W227" i="4"/>
  <c r="X227" i="4"/>
  <c r="Y227" i="4"/>
  <c r="Z227" i="4"/>
  <c r="AA227" i="4"/>
  <c r="AB227" i="4"/>
  <c r="AC227" i="4"/>
  <c r="AD227" i="4"/>
  <c r="AE227" i="4"/>
  <c r="AF227" i="4"/>
  <c r="AG227" i="4"/>
  <c r="AH227" i="4"/>
  <c r="AI227" i="4"/>
  <c r="AJ227" i="4"/>
  <c r="H228" i="4"/>
  <c r="I228" i="4"/>
  <c r="J228" i="4"/>
  <c r="K228" i="4"/>
  <c r="L228" i="4"/>
  <c r="M228" i="4"/>
  <c r="N228" i="4"/>
  <c r="O228" i="4"/>
  <c r="P228" i="4"/>
  <c r="Q228" i="4"/>
  <c r="R228" i="4"/>
  <c r="S228" i="4"/>
  <c r="T228" i="4"/>
  <c r="U228" i="4"/>
  <c r="V228" i="4"/>
  <c r="W228" i="4"/>
  <c r="X228" i="4"/>
  <c r="Y228" i="4"/>
  <c r="Z228" i="4"/>
  <c r="AA228" i="4"/>
  <c r="AB228" i="4"/>
  <c r="AC228" i="4"/>
  <c r="AD228" i="4"/>
  <c r="AE228" i="4"/>
  <c r="AF228" i="4"/>
  <c r="AG228" i="4"/>
  <c r="AH228" i="4"/>
  <c r="AI228" i="4"/>
  <c r="AJ228" i="4"/>
  <c r="H229" i="4"/>
  <c r="I229" i="4"/>
  <c r="J229" i="4"/>
  <c r="K229" i="4"/>
  <c r="L229" i="4"/>
  <c r="M229" i="4"/>
  <c r="N229" i="4"/>
  <c r="O229" i="4"/>
  <c r="P229" i="4"/>
  <c r="Q229" i="4"/>
  <c r="R229" i="4"/>
  <c r="S229" i="4"/>
  <c r="T229" i="4"/>
  <c r="U229" i="4"/>
  <c r="V229" i="4"/>
  <c r="W229" i="4"/>
  <c r="X229" i="4"/>
  <c r="Y229" i="4"/>
  <c r="Z229" i="4"/>
  <c r="AA229" i="4"/>
  <c r="AB229" i="4"/>
  <c r="AC229" i="4"/>
  <c r="AD229" i="4"/>
  <c r="AE229" i="4"/>
  <c r="AF229" i="4"/>
  <c r="AG229" i="4"/>
  <c r="AH229" i="4"/>
  <c r="AI229" i="4"/>
  <c r="AJ229" i="4"/>
  <c r="H230" i="4"/>
  <c r="I230" i="4"/>
  <c r="J230" i="4"/>
  <c r="K230" i="4"/>
  <c r="L230" i="4"/>
  <c r="M230" i="4"/>
  <c r="N230" i="4"/>
  <c r="O230" i="4"/>
  <c r="P230" i="4"/>
  <c r="Q230" i="4"/>
  <c r="R230" i="4"/>
  <c r="S230" i="4"/>
  <c r="T230" i="4"/>
  <c r="U230" i="4"/>
  <c r="V230" i="4"/>
  <c r="W230" i="4"/>
  <c r="X230" i="4"/>
  <c r="Y230" i="4"/>
  <c r="Z230" i="4"/>
  <c r="AA230" i="4"/>
  <c r="AB230" i="4"/>
  <c r="AC230" i="4"/>
  <c r="AD230" i="4"/>
  <c r="AE230" i="4"/>
  <c r="AF230" i="4"/>
  <c r="AG230" i="4"/>
  <c r="AH230" i="4"/>
  <c r="AI230" i="4"/>
  <c r="AJ230" i="4"/>
  <c r="H231" i="4"/>
  <c r="I231" i="4"/>
  <c r="J231" i="4"/>
  <c r="K231" i="4"/>
  <c r="L231" i="4"/>
  <c r="M231" i="4"/>
  <c r="N231" i="4"/>
  <c r="O231" i="4"/>
  <c r="P231" i="4"/>
  <c r="Q231" i="4"/>
  <c r="R231" i="4"/>
  <c r="S231" i="4"/>
  <c r="T231" i="4"/>
  <c r="U231" i="4"/>
  <c r="V231" i="4"/>
  <c r="W231" i="4"/>
  <c r="X231" i="4"/>
  <c r="Y231" i="4"/>
  <c r="Z231" i="4"/>
  <c r="AA231" i="4"/>
  <c r="AB231" i="4"/>
  <c r="AC231" i="4"/>
  <c r="AD231" i="4"/>
  <c r="AE231" i="4"/>
  <c r="AF231" i="4"/>
  <c r="AG231" i="4"/>
  <c r="AH231" i="4"/>
  <c r="AI231" i="4"/>
  <c r="AJ231" i="4"/>
  <c r="H232" i="4"/>
  <c r="I232" i="4"/>
  <c r="J232" i="4"/>
  <c r="K232" i="4"/>
  <c r="L232" i="4"/>
  <c r="M232" i="4"/>
  <c r="N232" i="4"/>
  <c r="O232" i="4"/>
  <c r="P232" i="4"/>
  <c r="Q232" i="4"/>
  <c r="R232" i="4"/>
  <c r="S232" i="4"/>
  <c r="T232" i="4"/>
  <c r="U232" i="4"/>
  <c r="V232" i="4"/>
  <c r="W232" i="4"/>
  <c r="X232" i="4"/>
  <c r="Y232" i="4"/>
  <c r="Z232" i="4"/>
  <c r="AA232" i="4"/>
  <c r="AB232" i="4"/>
  <c r="AC232" i="4"/>
  <c r="AD232" i="4"/>
  <c r="AE232" i="4"/>
  <c r="AF232" i="4"/>
  <c r="AG232" i="4"/>
  <c r="AH232" i="4"/>
  <c r="AI232" i="4"/>
  <c r="AJ232" i="4"/>
  <c r="H233" i="4"/>
  <c r="I233" i="4"/>
  <c r="J233" i="4"/>
  <c r="K233" i="4"/>
  <c r="L233" i="4"/>
  <c r="M233" i="4"/>
  <c r="N233" i="4"/>
  <c r="O233" i="4"/>
  <c r="P233" i="4"/>
  <c r="Q233" i="4"/>
  <c r="R233" i="4"/>
  <c r="S233" i="4"/>
  <c r="T233" i="4"/>
  <c r="U233" i="4"/>
  <c r="V233" i="4"/>
  <c r="W233" i="4"/>
  <c r="X233" i="4"/>
  <c r="Y233" i="4"/>
  <c r="Z233" i="4"/>
  <c r="AA233" i="4"/>
  <c r="AB233" i="4"/>
  <c r="AC233" i="4"/>
  <c r="AD233" i="4"/>
  <c r="AE233" i="4"/>
  <c r="AF233" i="4"/>
  <c r="AG233" i="4"/>
  <c r="AH233" i="4"/>
  <c r="AI233" i="4"/>
  <c r="AJ233" i="4"/>
  <c r="H234" i="4"/>
  <c r="I234" i="4"/>
  <c r="J234" i="4"/>
  <c r="K234" i="4"/>
  <c r="L234" i="4"/>
  <c r="M234" i="4"/>
  <c r="N234" i="4"/>
  <c r="O234" i="4"/>
  <c r="P234" i="4"/>
  <c r="Q234" i="4"/>
  <c r="R234" i="4"/>
  <c r="S234" i="4"/>
  <c r="T234" i="4"/>
  <c r="U234" i="4"/>
  <c r="V234" i="4"/>
  <c r="W234" i="4"/>
  <c r="X234" i="4"/>
  <c r="Y234" i="4"/>
  <c r="Z234" i="4"/>
  <c r="AA234" i="4"/>
  <c r="AB234" i="4"/>
  <c r="AC234" i="4"/>
  <c r="AD234" i="4"/>
  <c r="AE234" i="4"/>
  <c r="AF234" i="4"/>
  <c r="AG234" i="4"/>
  <c r="AH234" i="4"/>
  <c r="AI234" i="4"/>
  <c r="AJ234" i="4"/>
  <c r="H235" i="4"/>
  <c r="I235" i="4"/>
  <c r="J235" i="4"/>
  <c r="K235" i="4"/>
  <c r="L235" i="4"/>
  <c r="M235" i="4"/>
  <c r="N235" i="4"/>
  <c r="O235" i="4"/>
  <c r="P235" i="4"/>
  <c r="Q235" i="4"/>
  <c r="R235" i="4"/>
  <c r="S235" i="4"/>
  <c r="T235" i="4"/>
  <c r="U235" i="4"/>
  <c r="V235" i="4"/>
  <c r="W235" i="4"/>
  <c r="X235" i="4"/>
  <c r="Y235" i="4"/>
  <c r="Z235" i="4"/>
  <c r="AA235" i="4"/>
  <c r="AB235" i="4"/>
  <c r="AC235" i="4"/>
  <c r="AD235" i="4"/>
  <c r="AE235" i="4"/>
  <c r="AF235" i="4"/>
  <c r="AG235" i="4"/>
  <c r="AH235" i="4"/>
  <c r="AI235" i="4"/>
  <c r="AJ235" i="4"/>
  <c r="H236" i="4"/>
  <c r="I236" i="4"/>
  <c r="J236" i="4"/>
  <c r="K236" i="4"/>
  <c r="L236" i="4"/>
  <c r="M236" i="4"/>
  <c r="N236" i="4"/>
  <c r="O236" i="4"/>
  <c r="P236" i="4"/>
  <c r="Q236" i="4"/>
  <c r="R236" i="4"/>
  <c r="S236" i="4"/>
  <c r="T236" i="4"/>
  <c r="U236" i="4"/>
  <c r="V236" i="4"/>
  <c r="W236" i="4"/>
  <c r="X236" i="4"/>
  <c r="Y236" i="4"/>
  <c r="Z236" i="4"/>
  <c r="AA236" i="4"/>
  <c r="AB236" i="4"/>
  <c r="AC236" i="4"/>
  <c r="AD236" i="4"/>
  <c r="AE236" i="4"/>
  <c r="AF236" i="4"/>
  <c r="AG236" i="4"/>
  <c r="AH236" i="4"/>
  <c r="AI236" i="4"/>
  <c r="AJ236" i="4"/>
  <c r="H237" i="4"/>
  <c r="I237" i="4"/>
  <c r="J237" i="4"/>
  <c r="K237" i="4"/>
  <c r="L237" i="4"/>
  <c r="M237" i="4"/>
  <c r="N237" i="4"/>
  <c r="O237" i="4"/>
  <c r="P237" i="4"/>
  <c r="Q237" i="4"/>
  <c r="R237" i="4"/>
  <c r="S237" i="4"/>
  <c r="T237" i="4"/>
  <c r="U237" i="4"/>
  <c r="V237" i="4"/>
  <c r="W237" i="4"/>
  <c r="X237" i="4"/>
  <c r="Y237" i="4"/>
  <c r="Z237" i="4"/>
  <c r="AA237" i="4"/>
  <c r="AB237" i="4"/>
  <c r="AC237" i="4"/>
  <c r="AD237" i="4"/>
  <c r="AE237" i="4"/>
  <c r="AF237" i="4"/>
  <c r="AG237" i="4"/>
  <c r="AH237" i="4"/>
  <c r="AI237" i="4"/>
  <c r="AJ237" i="4"/>
  <c r="H238" i="4"/>
  <c r="I238" i="4"/>
  <c r="J238" i="4"/>
  <c r="K238" i="4"/>
  <c r="L238" i="4"/>
  <c r="M238" i="4"/>
  <c r="N238" i="4"/>
  <c r="O238" i="4"/>
  <c r="P238" i="4"/>
  <c r="Q238" i="4"/>
  <c r="R238" i="4"/>
  <c r="S238" i="4"/>
  <c r="T238" i="4"/>
  <c r="U238" i="4"/>
  <c r="V238" i="4"/>
  <c r="W238" i="4"/>
  <c r="X238" i="4"/>
  <c r="Y238" i="4"/>
  <c r="Z238" i="4"/>
  <c r="AA238" i="4"/>
  <c r="AB238" i="4"/>
  <c r="AC238" i="4"/>
  <c r="AD238" i="4"/>
  <c r="AE238" i="4"/>
  <c r="AF238" i="4"/>
  <c r="AG238" i="4"/>
  <c r="AH238" i="4"/>
  <c r="AI238" i="4"/>
  <c r="AJ238" i="4"/>
  <c r="H239" i="4"/>
  <c r="I239" i="4"/>
  <c r="J239" i="4"/>
  <c r="K239" i="4"/>
  <c r="L239" i="4"/>
  <c r="M239" i="4"/>
  <c r="N239" i="4"/>
  <c r="O239" i="4"/>
  <c r="P239" i="4"/>
  <c r="Q239" i="4"/>
  <c r="R239" i="4"/>
  <c r="S239" i="4"/>
  <c r="T239" i="4"/>
  <c r="U239" i="4"/>
  <c r="V239" i="4"/>
  <c r="W239" i="4"/>
  <c r="X239" i="4"/>
  <c r="Y239" i="4"/>
  <c r="Z239" i="4"/>
  <c r="AA239" i="4"/>
  <c r="AB239" i="4"/>
  <c r="AC239" i="4"/>
  <c r="AD239" i="4"/>
  <c r="AE239" i="4"/>
  <c r="AF239" i="4"/>
  <c r="AG239" i="4"/>
  <c r="AH239" i="4"/>
  <c r="AI239" i="4"/>
  <c r="AJ239" i="4"/>
  <c r="H240" i="4"/>
  <c r="I240" i="4"/>
  <c r="J240" i="4"/>
  <c r="K240" i="4"/>
  <c r="L240" i="4"/>
  <c r="M240" i="4"/>
  <c r="N240" i="4"/>
  <c r="O240" i="4"/>
  <c r="P240" i="4"/>
  <c r="Q240" i="4"/>
  <c r="R240" i="4"/>
  <c r="S240" i="4"/>
  <c r="T240" i="4"/>
  <c r="U240" i="4"/>
  <c r="V240" i="4"/>
  <c r="W240" i="4"/>
  <c r="X240" i="4"/>
  <c r="Y240" i="4"/>
  <c r="Z240" i="4"/>
  <c r="AA240" i="4"/>
  <c r="AB240" i="4"/>
  <c r="AC240" i="4"/>
  <c r="AD240" i="4"/>
  <c r="AE240" i="4"/>
  <c r="AF240" i="4"/>
  <c r="AG240" i="4"/>
  <c r="AH240" i="4"/>
  <c r="AI240" i="4"/>
  <c r="AJ240" i="4"/>
  <c r="H241" i="4"/>
  <c r="I241" i="4"/>
  <c r="J241" i="4"/>
  <c r="K241" i="4"/>
  <c r="L241" i="4"/>
  <c r="M241" i="4"/>
  <c r="N241" i="4"/>
  <c r="O241" i="4"/>
  <c r="P241" i="4"/>
  <c r="Q241" i="4"/>
  <c r="R241" i="4"/>
  <c r="S241" i="4"/>
  <c r="T241" i="4"/>
  <c r="U241" i="4"/>
  <c r="V241" i="4"/>
  <c r="W241" i="4"/>
  <c r="X241" i="4"/>
  <c r="Y241" i="4"/>
  <c r="Z241" i="4"/>
  <c r="AA241" i="4"/>
  <c r="AB241" i="4"/>
  <c r="AC241" i="4"/>
  <c r="AD241" i="4"/>
  <c r="AE241" i="4"/>
  <c r="AF241" i="4"/>
  <c r="AG241" i="4"/>
  <c r="AH241" i="4"/>
  <c r="AI241" i="4"/>
  <c r="AJ241" i="4"/>
  <c r="H242" i="4"/>
  <c r="I242" i="4"/>
  <c r="J242" i="4"/>
  <c r="K242" i="4"/>
  <c r="L242" i="4"/>
  <c r="M242" i="4"/>
  <c r="N242" i="4"/>
  <c r="O242" i="4"/>
  <c r="P242" i="4"/>
  <c r="Q242" i="4"/>
  <c r="R242" i="4"/>
  <c r="S242" i="4"/>
  <c r="T242" i="4"/>
  <c r="U242" i="4"/>
  <c r="V242" i="4"/>
  <c r="W242" i="4"/>
  <c r="X242" i="4"/>
  <c r="Y242" i="4"/>
  <c r="Z242" i="4"/>
  <c r="AA242" i="4"/>
  <c r="AB242" i="4"/>
  <c r="AC242" i="4"/>
  <c r="AD242" i="4"/>
  <c r="AE242" i="4"/>
  <c r="AF242" i="4"/>
  <c r="AG242" i="4"/>
  <c r="AH242" i="4"/>
  <c r="AI242" i="4"/>
  <c r="AJ242" i="4"/>
  <c r="H243" i="4"/>
  <c r="I243" i="4"/>
  <c r="J243" i="4"/>
  <c r="K243" i="4"/>
  <c r="L243" i="4"/>
  <c r="M243" i="4"/>
  <c r="N243" i="4"/>
  <c r="O243" i="4"/>
  <c r="P243" i="4"/>
  <c r="Q243" i="4"/>
  <c r="R243" i="4"/>
  <c r="S243" i="4"/>
  <c r="T243" i="4"/>
  <c r="U243" i="4"/>
  <c r="V243" i="4"/>
  <c r="W243" i="4"/>
  <c r="X243" i="4"/>
  <c r="Y243" i="4"/>
  <c r="Z243" i="4"/>
  <c r="AA243" i="4"/>
  <c r="AB243" i="4"/>
  <c r="AC243" i="4"/>
  <c r="AD243" i="4"/>
  <c r="AE243" i="4"/>
  <c r="AF243" i="4"/>
  <c r="AG243" i="4"/>
  <c r="AH243" i="4"/>
  <c r="AI243" i="4"/>
  <c r="AJ243" i="4"/>
  <c r="H244" i="4"/>
  <c r="I244" i="4"/>
  <c r="J244" i="4"/>
  <c r="K244" i="4"/>
  <c r="L244" i="4"/>
  <c r="M244" i="4"/>
  <c r="N244" i="4"/>
  <c r="O244" i="4"/>
  <c r="P244" i="4"/>
  <c r="Q244" i="4"/>
  <c r="R244" i="4"/>
  <c r="S244" i="4"/>
  <c r="T244" i="4"/>
  <c r="U244" i="4"/>
  <c r="V244" i="4"/>
  <c r="W244" i="4"/>
  <c r="X244" i="4"/>
  <c r="Y244" i="4"/>
  <c r="Z244" i="4"/>
  <c r="AA244" i="4"/>
  <c r="AB244" i="4"/>
  <c r="AC244" i="4"/>
  <c r="AD244" i="4"/>
  <c r="AE244" i="4"/>
  <c r="AF244" i="4"/>
  <c r="AG244" i="4"/>
  <c r="AH244" i="4"/>
  <c r="AI244" i="4"/>
  <c r="AJ244" i="4"/>
  <c r="H245" i="4"/>
  <c r="I245" i="4"/>
  <c r="J245" i="4"/>
  <c r="K245" i="4"/>
  <c r="L245" i="4"/>
  <c r="M245" i="4"/>
  <c r="N245" i="4"/>
  <c r="O245" i="4"/>
  <c r="P245" i="4"/>
  <c r="Q245" i="4"/>
  <c r="R245" i="4"/>
  <c r="S245" i="4"/>
  <c r="T245" i="4"/>
  <c r="U245" i="4"/>
  <c r="V245" i="4"/>
  <c r="W245" i="4"/>
  <c r="X245" i="4"/>
  <c r="Y245" i="4"/>
  <c r="Z245" i="4"/>
  <c r="AA245" i="4"/>
  <c r="AB245" i="4"/>
  <c r="AC245" i="4"/>
  <c r="AD245" i="4"/>
  <c r="AE245" i="4"/>
  <c r="AF245" i="4"/>
  <c r="AG245" i="4"/>
  <c r="AH245" i="4"/>
  <c r="AI245" i="4"/>
  <c r="AJ245" i="4"/>
  <c r="H246" i="4"/>
  <c r="I246" i="4"/>
  <c r="J246" i="4"/>
  <c r="K246" i="4"/>
  <c r="L246" i="4"/>
  <c r="M246" i="4"/>
  <c r="N246" i="4"/>
  <c r="O246" i="4"/>
  <c r="P246" i="4"/>
  <c r="Q246" i="4"/>
  <c r="R246" i="4"/>
  <c r="S246" i="4"/>
  <c r="T246" i="4"/>
  <c r="U246" i="4"/>
  <c r="V246" i="4"/>
  <c r="W246" i="4"/>
  <c r="X246" i="4"/>
  <c r="Y246" i="4"/>
  <c r="Z246" i="4"/>
  <c r="AA246" i="4"/>
  <c r="AB246" i="4"/>
  <c r="AC246" i="4"/>
  <c r="AD246" i="4"/>
  <c r="AE246" i="4"/>
  <c r="AF246" i="4"/>
  <c r="AG246" i="4"/>
  <c r="AH246" i="4"/>
  <c r="AI246" i="4"/>
  <c r="AJ246" i="4"/>
  <c r="H247" i="4"/>
  <c r="I247" i="4"/>
  <c r="J247" i="4"/>
  <c r="K247" i="4"/>
  <c r="L247" i="4"/>
  <c r="M247" i="4"/>
  <c r="N247" i="4"/>
  <c r="O247" i="4"/>
  <c r="P247" i="4"/>
  <c r="Q247" i="4"/>
  <c r="R247" i="4"/>
  <c r="S247" i="4"/>
  <c r="T247" i="4"/>
  <c r="U247" i="4"/>
  <c r="V247" i="4"/>
  <c r="W247" i="4"/>
  <c r="X247" i="4"/>
  <c r="Y247" i="4"/>
  <c r="Z247" i="4"/>
  <c r="AA247" i="4"/>
  <c r="AB247" i="4"/>
  <c r="AC247" i="4"/>
  <c r="AD247" i="4"/>
  <c r="AE247" i="4"/>
  <c r="AF247" i="4"/>
  <c r="AG247" i="4"/>
  <c r="AH247" i="4"/>
  <c r="AI247" i="4"/>
  <c r="AJ247" i="4"/>
  <c r="H248" i="4"/>
  <c r="I248" i="4"/>
  <c r="J248" i="4"/>
  <c r="K248" i="4"/>
  <c r="L248" i="4"/>
  <c r="M248" i="4"/>
  <c r="N248" i="4"/>
  <c r="O248" i="4"/>
  <c r="P248" i="4"/>
  <c r="Q248" i="4"/>
  <c r="R248" i="4"/>
  <c r="S248" i="4"/>
  <c r="T248" i="4"/>
  <c r="U248" i="4"/>
  <c r="V248" i="4"/>
  <c r="W248" i="4"/>
  <c r="X248" i="4"/>
  <c r="Y248" i="4"/>
  <c r="Z248" i="4"/>
  <c r="AA248" i="4"/>
  <c r="AB248" i="4"/>
  <c r="AC248" i="4"/>
  <c r="AD248" i="4"/>
  <c r="AE248" i="4"/>
  <c r="AF248" i="4"/>
  <c r="AG248" i="4"/>
  <c r="AH248" i="4"/>
  <c r="AI248" i="4"/>
  <c r="AJ248" i="4"/>
  <c r="H249" i="4"/>
  <c r="I249" i="4"/>
  <c r="J249" i="4"/>
  <c r="K249" i="4"/>
  <c r="L249" i="4"/>
  <c r="M249" i="4"/>
  <c r="N249" i="4"/>
  <c r="O249" i="4"/>
  <c r="P249" i="4"/>
  <c r="Q249" i="4"/>
  <c r="R249" i="4"/>
  <c r="S249" i="4"/>
  <c r="T249" i="4"/>
  <c r="U249" i="4"/>
  <c r="V249" i="4"/>
  <c r="W249" i="4"/>
  <c r="X249" i="4"/>
  <c r="Y249" i="4"/>
  <c r="Z249" i="4"/>
  <c r="AA249" i="4"/>
  <c r="AB249" i="4"/>
  <c r="AC249" i="4"/>
  <c r="AD249" i="4"/>
  <c r="AE249" i="4"/>
  <c r="AF249" i="4"/>
  <c r="AG249" i="4"/>
  <c r="AH249" i="4"/>
  <c r="AI249" i="4"/>
  <c r="AJ249" i="4"/>
  <c r="H250" i="4"/>
  <c r="I250" i="4"/>
  <c r="J250" i="4"/>
  <c r="K250" i="4"/>
  <c r="L250" i="4"/>
  <c r="M250" i="4"/>
  <c r="N250" i="4"/>
  <c r="O250" i="4"/>
  <c r="P250" i="4"/>
  <c r="Q250" i="4"/>
  <c r="R250" i="4"/>
  <c r="S250" i="4"/>
  <c r="T250" i="4"/>
  <c r="U250" i="4"/>
  <c r="V250" i="4"/>
  <c r="W250" i="4"/>
  <c r="X250" i="4"/>
  <c r="Y250" i="4"/>
  <c r="Z250" i="4"/>
  <c r="AA250" i="4"/>
  <c r="AB250" i="4"/>
  <c r="AC250" i="4"/>
  <c r="AD250" i="4"/>
  <c r="AE250" i="4"/>
  <c r="AF250" i="4"/>
  <c r="AG250" i="4"/>
  <c r="AH250" i="4"/>
  <c r="AI250" i="4"/>
  <c r="AJ250" i="4"/>
  <c r="H251" i="4"/>
  <c r="I251" i="4"/>
  <c r="J251" i="4"/>
  <c r="K251" i="4"/>
  <c r="L251" i="4"/>
  <c r="M251" i="4"/>
  <c r="N251" i="4"/>
  <c r="O251" i="4"/>
  <c r="P251" i="4"/>
  <c r="Q251" i="4"/>
  <c r="R251" i="4"/>
  <c r="S251" i="4"/>
  <c r="T251" i="4"/>
  <c r="U251" i="4"/>
  <c r="V251" i="4"/>
  <c r="W251" i="4"/>
  <c r="X251" i="4"/>
  <c r="Y251" i="4"/>
  <c r="Z251" i="4"/>
  <c r="AA251" i="4"/>
  <c r="AB251" i="4"/>
  <c r="AC251" i="4"/>
  <c r="AD251" i="4"/>
  <c r="AE251" i="4"/>
  <c r="AF251" i="4"/>
  <c r="AG251" i="4"/>
  <c r="AH251" i="4"/>
  <c r="AI251" i="4"/>
  <c r="AJ251" i="4"/>
  <c r="H252" i="4"/>
  <c r="I252" i="4"/>
  <c r="J252" i="4"/>
  <c r="K252" i="4"/>
  <c r="L252" i="4"/>
  <c r="M252" i="4"/>
  <c r="N252" i="4"/>
  <c r="O252" i="4"/>
  <c r="P252" i="4"/>
  <c r="Q252" i="4"/>
  <c r="R252" i="4"/>
  <c r="S252" i="4"/>
  <c r="T252" i="4"/>
  <c r="U252" i="4"/>
  <c r="V252" i="4"/>
  <c r="W252" i="4"/>
  <c r="X252" i="4"/>
  <c r="Y252" i="4"/>
  <c r="Z252" i="4"/>
  <c r="AA252" i="4"/>
  <c r="AB252" i="4"/>
  <c r="AC252" i="4"/>
  <c r="AD252" i="4"/>
  <c r="AE252" i="4"/>
  <c r="AF252" i="4"/>
  <c r="AG252" i="4"/>
  <c r="AH252" i="4"/>
  <c r="AI252" i="4"/>
  <c r="AJ252" i="4"/>
  <c r="H253" i="4"/>
  <c r="I253" i="4"/>
  <c r="J253" i="4"/>
  <c r="K253" i="4"/>
  <c r="L253" i="4"/>
  <c r="M253" i="4"/>
  <c r="N253" i="4"/>
  <c r="O253" i="4"/>
  <c r="P253" i="4"/>
  <c r="Q253" i="4"/>
  <c r="R253" i="4"/>
  <c r="S253" i="4"/>
  <c r="T253" i="4"/>
  <c r="U253" i="4"/>
  <c r="V253" i="4"/>
  <c r="W253" i="4"/>
  <c r="X253" i="4"/>
  <c r="Y253" i="4"/>
  <c r="Z253" i="4"/>
  <c r="AA253" i="4"/>
  <c r="AB253" i="4"/>
  <c r="AC253" i="4"/>
  <c r="AD253" i="4"/>
  <c r="AE253" i="4"/>
  <c r="AF253" i="4"/>
  <c r="AG253" i="4"/>
  <c r="AH253" i="4"/>
  <c r="AI253" i="4"/>
  <c r="AJ253" i="4"/>
  <c r="H254" i="4"/>
  <c r="I254" i="4"/>
  <c r="J254" i="4"/>
  <c r="K254" i="4"/>
  <c r="L254" i="4"/>
  <c r="M254" i="4"/>
  <c r="N254" i="4"/>
  <c r="O254" i="4"/>
  <c r="P254" i="4"/>
  <c r="Q254" i="4"/>
  <c r="R254" i="4"/>
  <c r="S254" i="4"/>
  <c r="T254" i="4"/>
  <c r="U254" i="4"/>
  <c r="V254" i="4"/>
  <c r="W254" i="4"/>
  <c r="X254" i="4"/>
  <c r="Y254" i="4"/>
  <c r="Z254" i="4"/>
  <c r="AA254" i="4"/>
  <c r="AB254" i="4"/>
  <c r="AC254" i="4"/>
  <c r="AD254" i="4"/>
  <c r="AE254" i="4"/>
  <c r="AF254" i="4"/>
  <c r="AG254" i="4"/>
  <c r="AH254" i="4"/>
  <c r="AI254" i="4"/>
  <c r="AJ254" i="4"/>
  <c r="H255" i="4"/>
  <c r="I255" i="4"/>
  <c r="J255" i="4"/>
  <c r="K255" i="4"/>
  <c r="L255" i="4"/>
  <c r="M255" i="4"/>
  <c r="N255" i="4"/>
  <c r="O255" i="4"/>
  <c r="P255" i="4"/>
  <c r="Q255" i="4"/>
  <c r="R255" i="4"/>
  <c r="S255" i="4"/>
  <c r="T255" i="4"/>
  <c r="U255" i="4"/>
  <c r="V255" i="4"/>
  <c r="W255" i="4"/>
  <c r="X255" i="4"/>
  <c r="Y255" i="4"/>
  <c r="Z255" i="4"/>
  <c r="AA255" i="4"/>
  <c r="AB255" i="4"/>
  <c r="AC255" i="4"/>
  <c r="AD255" i="4"/>
  <c r="AE255" i="4"/>
  <c r="AF255" i="4"/>
  <c r="AG255" i="4"/>
  <c r="AH255" i="4"/>
  <c r="AI255" i="4"/>
  <c r="AJ255" i="4"/>
  <c r="H256" i="4"/>
  <c r="I256" i="4"/>
  <c r="J256" i="4"/>
  <c r="K256" i="4"/>
  <c r="L256" i="4"/>
  <c r="M256" i="4"/>
  <c r="N256" i="4"/>
  <c r="O256" i="4"/>
  <c r="P256" i="4"/>
  <c r="Q256" i="4"/>
  <c r="R256" i="4"/>
  <c r="S256" i="4"/>
  <c r="T256" i="4"/>
  <c r="U256" i="4"/>
  <c r="V256" i="4"/>
  <c r="W256" i="4"/>
  <c r="X256" i="4"/>
  <c r="Y256" i="4"/>
  <c r="Z256" i="4"/>
  <c r="AA256" i="4"/>
  <c r="AB256" i="4"/>
  <c r="AC256" i="4"/>
  <c r="AD256" i="4"/>
  <c r="AE256" i="4"/>
  <c r="AF256" i="4"/>
  <c r="AG256" i="4"/>
  <c r="AH256" i="4"/>
  <c r="AI256" i="4"/>
  <c r="AJ256" i="4"/>
  <c r="H257" i="4"/>
  <c r="I257" i="4"/>
  <c r="J257" i="4"/>
  <c r="K257" i="4"/>
  <c r="L257" i="4"/>
  <c r="M257" i="4"/>
  <c r="N257" i="4"/>
  <c r="O257" i="4"/>
  <c r="P257" i="4"/>
  <c r="Q257" i="4"/>
  <c r="R257" i="4"/>
  <c r="S257" i="4"/>
  <c r="T257" i="4"/>
  <c r="U257" i="4"/>
  <c r="V257" i="4"/>
  <c r="W257" i="4"/>
  <c r="X257" i="4"/>
  <c r="Y257" i="4"/>
  <c r="Z257" i="4"/>
  <c r="AA257" i="4"/>
  <c r="AB257" i="4"/>
  <c r="AC257" i="4"/>
  <c r="AD257" i="4"/>
  <c r="AE257" i="4"/>
  <c r="AF257" i="4"/>
  <c r="AG257" i="4"/>
  <c r="AH257" i="4"/>
  <c r="AI257" i="4"/>
  <c r="AJ257" i="4"/>
  <c r="H258" i="4"/>
  <c r="I258" i="4"/>
  <c r="J258" i="4"/>
  <c r="K258" i="4"/>
  <c r="L258" i="4"/>
  <c r="M258" i="4"/>
  <c r="N258" i="4"/>
  <c r="O258" i="4"/>
  <c r="P258" i="4"/>
  <c r="Q258" i="4"/>
  <c r="R258" i="4"/>
  <c r="S258" i="4"/>
  <c r="T258" i="4"/>
  <c r="U258" i="4"/>
  <c r="V258" i="4"/>
  <c r="W258" i="4"/>
  <c r="X258" i="4"/>
  <c r="Y258" i="4"/>
  <c r="Z258" i="4"/>
  <c r="AA258" i="4"/>
  <c r="AB258" i="4"/>
  <c r="AC258" i="4"/>
  <c r="AD258" i="4"/>
  <c r="AE258" i="4"/>
  <c r="AF258" i="4"/>
  <c r="AG258" i="4"/>
  <c r="AH258" i="4"/>
  <c r="AI258" i="4"/>
  <c r="AJ258" i="4"/>
  <c r="H259" i="4"/>
  <c r="I259" i="4"/>
  <c r="J259" i="4"/>
  <c r="K259" i="4"/>
  <c r="L259" i="4"/>
  <c r="M259" i="4"/>
  <c r="N259" i="4"/>
  <c r="O259" i="4"/>
  <c r="P259" i="4"/>
  <c r="Q259" i="4"/>
  <c r="R259" i="4"/>
  <c r="S259" i="4"/>
  <c r="T259" i="4"/>
  <c r="U259" i="4"/>
  <c r="V259" i="4"/>
  <c r="W259" i="4"/>
  <c r="X259" i="4"/>
  <c r="Y259" i="4"/>
  <c r="Z259" i="4"/>
  <c r="AA259" i="4"/>
  <c r="AB259" i="4"/>
  <c r="AC259" i="4"/>
  <c r="AD259" i="4"/>
  <c r="AE259" i="4"/>
  <c r="AF259" i="4"/>
  <c r="AG259" i="4"/>
  <c r="AH259" i="4"/>
  <c r="AI259" i="4"/>
  <c r="AJ259" i="4"/>
  <c r="H260" i="4"/>
  <c r="I260" i="4"/>
  <c r="J260" i="4"/>
  <c r="K260" i="4"/>
  <c r="L260" i="4"/>
  <c r="M260" i="4"/>
  <c r="N260" i="4"/>
  <c r="O260" i="4"/>
  <c r="P260" i="4"/>
  <c r="Q260" i="4"/>
  <c r="R260" i="4"/>
  <c r="S260" i="4"/>
  <c r="T260" i="4"/>
  <c r="U260" i="4"/>
  <c r="V260" i="4"/>
  <c r="W260" i="4"/>
  <c r="X260" i="4"/>
  <c r="Y260" i="4"/>
  <c r="Z260" i="4"/>
  <c r="AA260" i="4"/>
  <c r="AB260" i="4"/>
  <c r="AC260" i="4"/>
  <c r="AD260" i="4"/>
  <c r="AE260" i="4"/>
  <c r="AF260" i="4"/>
  <c r="AG260" i="4"/>
  <c r="AH260" i="4"/>
  <c r="AI260" i="4"/>
  <c r="AJ260" i="4"/>
  <c r="H261" i="4"/>
  <c r="I261" i="4"/>
  <c r="J261" i="4"/>
  <c r="K261" i="4"/>
  <c r="L261" i="4"/>
  <c r="M261" i="4"/>
  <c r="N261" i="4"/>
  <c r="O261" i="4"/>
  <c r="P261" i="4"/>
  <c r="Q261" i="4"/>
  <c r="R261" i="4"/>
  <c r="S261" i="4"/>
  <c r="T261" i="4"/>
  <c r="U261" i="4"/>
  <c r="V261" i="4"/>
  <c r="W261" i="4"/>
  <c r="X261" i="4"/>
  <c r="Y261" i="4"/>
  <c r="Z261" i="4"/>
  <c r="AA261" i="4"/>
  <c r="AB261" i="4"/>
  <c r="AC261" i="4"/>
  <c r="AD261" i="4"/>
  <c r="AE261" i="4"/>
  <c r="AF261" i="4"/>
  <c r="AG261" i="4"/>
  <c r="AH261" i="4"/>
  <c r="AI261" i="4"/>
  <c r="AJ261" i="4"/>
  <c r="H262" i="4"/>
  <c r="I262" i="4"/>
  <c r="J262" i="4"/>
  <c r="K262" i="4"/>
  <c r="L262" i="4"/>
  <c r="M262" i="4"/>
  <c r="N262" i="4"/>
  <c r="O262" i="4"/>
  <c r="P262" i="4"/>
  <c r="Q262" i="4"/>
  <c r="R262" i="4"/>
  <c r="S262" i="4"/>
  <c r="T262" i="4"/>
  <c r="U262" i="4"/>
  <c r="V262" i="4"/>
  <c r="W262" i="4"/>
  <c r="X262" i="4"/>
  <c r="Y262" i="4"/>
  <c r="Z262" i="4"/>
  <c r="AA262" i="4"/>
  <c r="AB262" i="4"/>
  <c r="AC262" i="4"/>
  <c r="AD262" i="4"/>
  <c r="AE262" i="4"/>
  <c r="AF262" i="4"/>
  <c r="AG262" i="4"/>
  <c r="AH262" i="4"/>
  <c r="AI262" i="4"/>
  <c r="AJ262" i="4"/>
  <c r="H263" i="4"/>
  <c r="I263" i="4"/>
  <c r="J263" i="4"/>
  <c r="K263" i="4"/>
  <c r="L263" i="4"/>
  <c r="M263" i="4"/>
  <c r="N263" i="4"/>
  <c r="O263" i="4"/>
  <c r="P263" i="4"/>
  <c r="Q263" i="4"/>
  <c r="R263" i="4"/>
  <c r="S263" i="4"/>
  <c r="T263" i="4"/>
  <c r="U263" i="4"/>
  <c r="V263" i="4"/>
  <c r="W263" i="4"/>
  <c r="X263" i="4"/>
  <c r="Y263" i="4"/>
  <c r="Z263" i="4"/>
  <c r="AA263" i="4"/>
  <c r="AB263" i="4"/>
  <c r="AC263" i="4"/>
  <c r="AD263" i="4"/>
  <c r="AE263" i="4"/>
  <c r="AF263" i="4"/>
  <c r="AG263" i="4"/>
  <c r="AH263" i="4"/>
  <c r="AI263" i="4"/>
  <c r="AJ263" i="4"/>
  <c r="H264" i="4"/>
  <c r="I264" i="4"/>
  <c r="J264" i="4"/>
  <c r="K264" i="4"/>
  <c r="L264" i="4"/>
  <c r="M264" i="4"/>
  <c r="N264" i="4"/>
  <c r="O264" i="4"/>
  <c r="P264" i="4"/>
  <c r="Q264" i="4"/>
  <c r="R264" i="4"/>
  <c r="S264" i="4"/>
  <c r="T264" i="4"/>
  <c r="U264" i="4"/>
  <c r="V264" i="4"/>
  <c r="W264" i="4"/>
  <c r="X264" i="4"/>
  <c r="Y264" i="4"/>
  <c r="Z264" i="4"/>
  <c r="AA264" i="4"/>
  <c r="AB264" i="4"/>
  <c r="AC264" i="4"/>
  <c r="AD264" i="4"/>
  <c r="AE264" i="4"/>
  <c r="AF264" i="4"/>
  <c r="AG264" i="4"/>
  <c r="AH264" i="4"/>
  <c r="AI264" i="4"/>
  <c r="AJ264" i="4"/>
  <c r="H265" i="4"/>
  <c r="I265" i="4"/>
  <c r="J265" i="4"/>
  <c r="K265" i="4"/>
  <c r="L265" i="4"/>
  <c r="M265" i="4"/>
  <c r="N265" i="4"/>
  <c r="O265" i="4"/>
  <c r="P265" i="4"/>
  <c r="Q265" i="4"/>
  <c r="R265" i="4"/>
  <c r="S265" i="4"/>
  <c r="T265" i="4"/>
  <c r="U265" i="4"/>
  <c r="V265" i="4"/>
  <c r="W265" i="4"/>
  <c r="X265" i="4"/>
  <c r="Y265" i="4"/>
  <c r="Z265" i="4"/>
  <c r="AA265" i="4"/>
  <c r="AB265" i="4"/>
  <c r="AC265" i="4"/>
  <c r="AD265" i="4"/>
  <c r="AE265" i="4"/>
  <c r="AF265" i="4"/>
  <c r="AG265" i="4"/>
  <c r="AH265" i="4"/>
  <c r="AI265" i="4"/>
  <c r="AJ265" i="4"/>
  <c r="H266" i="4"/>
  <c r="I266" i="4"/>
  <c r="J266" i="4"/>
  <c r="K266" i="4"/>
  <c r="L266" i="4"/>
  <c r="M266" i="4"/>
  <c r="N266" i="4"/>
  <c r="O266" i="4"/>
  <c r="P266" i="4"/>
  <c r="Q266" i="4"/>
  <c r="R266" i="4"/>
  <c r="S266" i="4"/>
  <c r="T266" i="4"/>
  <c r="U266" i="4"/>
  <c r="V266" i="4"/>
  <c r="W266" i="4"/>
  <c r="X266" i="4"/>
  <c r="Y266" i="4"/>
  <c r="Z266" i="4"/>
  <c r="AA266" i="4"/>
  <c r="AB266" i="4"/>
  <c r="AC266" i="4"/>
  <c r="AD266" i="4"/>
  <c r="AE266" i="4"/>
  <c r="AF266" i="4"/>
  <c r="AG266" i="4"/>
  <c r="AH266" i="4"/>
  <c r="AI266" i="4"/>
  <c r="AJ266" i="4"/>
  <c r="H267" i="4"/>
  <c r="I267" i="4"/>
  <c r="J267" i="4"/>
  <c r="K267" i="4"/>
  <c r="L267" i="4"/>
  <c r="M267" i="4"/>
  <c r="N267" i="4"/>
  <c r="O267" i="4"/>
  <c r="P267" i="4"/>
  <c r="Q267" i="4"/>
  <c r="R267" i="4"/>
  <c r="S267" i="4"/>
  <c r="T267" i="4"/>
  <c r="U267" i="4"/>
  <c r="V267" i="4"/>
  <c r="W267" i="4"/>
  <c r="X267" i="4"/>
  <c r="Y267" i="4"/>
  <c r="Z267" i="4"/>
  <c r="AA267" i="4"/>
  <c r="AB267" i="4"/>
  <c r="AC267" i="4"/>
  <c r="AD267" i="4"/>
  <c r="AE267" i="4"/>
  <c r="AF267" i="4"/>
  <c r="AG267" i="4"/>
  <c r="AH267" i="4"/>
  <c r="AI267" i="4"/>
  <c r="AJ267" i="4"/>
  <c r="H268" i="4"/>
  <c r="I268" i="4"/>
  <c r="J268" i="4"/>
  <c r="K268" i="4"/>
  <c r="L268" i="4"/>
  <c r="M268" i="4"/>
  <c r="N268" i="4"/>
  <c r="O268" i="4"/>
  <c r="P268" i="4"/>
  <c r="Q268" i="4"/>
  <c r="R268" i="4"/>
  <c r="S268" i="4"/>
  <c r="T268" i="4"/>
  <c r="U268" i="4"/>
  <c r="V268" i="4"/>
  <c r="W268" i="4"/>
  <c r="X268" i="4"/>
  <c r="Y268" i="4"/>
  <c r="Z268" i="4"/>
  <c r="AA268" i="4"/>
  <c r="AB268" i="4"/>
  <c r="AC268" i="4"/>
  <c r="AD268" i="4"/>
  <c r="AE268" i="4"/>
  <c r="AF268" i="4"/>
  <c r="AG268" i="4"/>
  <c r="AH268" i="4"/>
  <c r="AI268" i="4"/>
  <c r="AJ268" i="4"/>
  <c r="H269" i="4"/>
  <c r="I269" i="4"/>
  <c r="J269" i="4"/>
  <c r="K269" i="4"/>
  <c r="L269" i="4"/>
  <c r="M269" i="4"/>
  <c r="N269" i="4"/>
  <c r="O269" i="4"/>
  <c r="P269" i="4"/>
  <c r="Q269" i="4"/>
  <c r="R269" i="4"/>
  <c r="S269" i="4"/>
  <c r="T269" i="4"/>
  <c r="U269" i="4"/>
  <c r="V269" i="4"/>
  <c r="W269" i="4"/>
  <c r="X269" i="4"/>
  <c r="Y269" i="4"/>
  <c r="Z269" i="4"/>
  <c r="AA269" i="4"/>
  <c r="AB269" i="4"/>
  <c r="AC269" i="4"/>
  <c r="AD269" i="4"/>
  <c r="AE269" i="4"/>
  <c r="AF269" i="4"/>
  <c r="AG269" i="4"/>
  <c r="AH269" i="4"/>
  <c r="AI269" i="4"/>
  <c r="AJ269" i="4"/>
  <c r="H270" i="4"/>
  <c r="I270" i="4"/>
  <c r="J270" i="4"/>
  <c r="K270" i="4"/>
  <c r="L270" i="4"/>
  <c r="M270" i="4"/>
  <c r="N270" i="4"/>
  <c r="O270" i="4"/>
  <c r="P270" i="4"/>
  <c r="Q270" i="4"/>
  <c r="R270" i="4"/>
  <c r="S270" i="4"/>
  <c r="T270" i="4"/>
  <c r="U270" i="4"/>
  <c r="V270" i="4"/>
  <c r="W270" i="4"/>
  <c r="X270" i="4"/>
  <c r="Y270" i="4"/>
  <c r="Z270" i="4"/>
  <c r="AA270" i="4"/>
  <c r="AB270" i="4"/>
  <c r="AC270" i="4"/>
  <c r="AD270" i="4"/>
  <c r="AE270" i="4"/>
  <c r="AF270" i="4"/>
  <c r="AG270" i="4"/>
  <c r="AH270" i="4"/>
  <c r="AI270" i="4"/>
  <c r="AJ270" i="4"/>
  <c r="H271" i="4"/>
  <c r="I271" i="4"/>
  <c r="J271" i="4"/>
  <c r="K271" i="4"/>
  <c r="L271" i="4"/>
  <c r="M271" i="4"/>
  <c r="N271" i="4"/>
  <c r="O271" i="4"/>
  <c r="P271" i="4"/>
  <c r="Q271" i="4"/>
  <c r="R271" i="4"/>
  <c r="S271" i="4"/>
  <c r="T271" i="4"/>
  <c r="U271" i="4"/>
  <c r="V271" i="4"/>
  <c r="W271" i="4"/>
  <c r="X271" i="4"/>
  <c r="Y271" i="4"/>
  <c r="Z271" i="4"/>
  <c r="AA271" i="4"/>
  <c r="AB271" i="4"/>
  <c r="AC271" i="4"/>
  <c r="AD271" i="4"/>
  <c r="AE271" i="4"/>
  <c r="AF271" i="4"/>
  <c r="AG271" i="4"/>
  <c r="AH271" i="4"/>
  <c r="AI271" i="4"/>
  <c r="AJ271" i="4"/>
  <c r="H272" i="4"/>
  <c r="I272" i="4"/>
  <c r="J272" i="4"/>
  <c r="K272" i="4"/>
  <c r="L272" i="4"/>
  <c r="M272" i="4"/>
  <c r="N272" i="4"/>
  <c r="O272" i="4"/>
  <c r="P272" i="4"/>
  <c r="Q272" i="4"/>
  <c r="R272" i="4"/>
  <c r="S272" i="4"/>
  <c r="T272" i="4"/>
  <c r="U272" i="4"/>
  <c r="V272" i="4"/>
  <c r="W272" i="4"/>
  <c r="X272" i="4"/>
  <c r="Y272" i="4"/>
  <c r="Z272" i="4"/>
  <c r="AA272" i="4"/>
  <c r="AB272" i="4"/>
  <c r="AC272" i="4"/>
  <c r="AD272" i="4"/>
  <c r="AE272" i="4"/>
  <c r="AF272" i="4"/>
  <c r="AG272" i="4"/>
  <c r="AH272" i="4"/>
  <c r="AI272" i="4"/>
  <c r="AJ272" i="4"/>
  <c r="H273" i="4"/>
  <c r="I273" i="4"/>
  <c r="J273" i="4"/>
  <c r="K273" i="4"/>
  <c r="L273" i="4"/>
  <c r="M273" i="4"/>
  <c r="N273" i="4"/>
  <c r="O273" i="4"/>
  <c r="P273" i="4"/>
  <c r="Q273" i="4"/>
  <c r="R273" i="4"/>
  <c r="S273" i="4"/>
  <c r="T273" i="4"/>
  <c r="U273" i="4"/>
  <c r="V273" i="4"/>
  <c r="W273" i="4"/>
  <c r="X273" i="4"/>
  <c r="Y273" i="4"/>
  <c r="Z273" i="4"/>
  <c r="AA273" i="4"/>
  <c r="AB273" i="4"/>
  <c r="AC273" i="4"/>
  <c r="AD273" i="4"/>
  <c r="AE273" i="4"/>
  <c r="AF273" i="4"/>
  <c r="AG273" i="4"/>
  <c r="AH273" i="4"/>
  <c r="AI273" i="4"/>
  <c r="AJ273" i="4"/>
  <c r="H274" i="4"/>
  <c r="I274" i="4"/>
  <c r="J274" i="4"/>
  <c r="K274" i="4"/>
  <c r="L274" i="4"/>
  <c r="M274" i="4"/>
  <c r="N274" i="4"/>
  <c r="O274" i="4"/>
  <c r="P274" i="4"/>
  <c r="Q274" i="4"/>
  <c r="R274" i="4"/>
  <c r="S274" i="4"/>
  <c r="T274" i="4"/>
  <c r="U274" i="4"/>
  <c r="V274" i="4"/>
  <c r="W274" i="4"/>
  <c r="X274" i="4"/>
  <c r="Y274" i="4"/>
  <c r="Z274" i="4"/>
  <c r="AA274" i="4"/>
  <c r="AB274" i="4"/>
  <c r="AC274" i="4"/>
  <c r="AD274" i="4"/>
  <c r="AE274" i="4"/>
  <c r="AF274" i="4"/>
  <c r="AG274" i="4"/>
  <c r="AH274" i="4"/>
  <c r="AI274" i="4"/>
  <c r="AJ274" i="4"/>
  <c r="H275" i="4"/>
  <c r="I275" i="4"/>
  <c r="J275" i="4"/>
  <c r="K275" i="4"/>
  <c r="L275" i="4"/>
  <c r="M275" i="4"/>
  <c r="N275" i="4"/>
  <c r="O275" i="4"/>
  <c r="P275" i="4"/>
  <c r="Q275" i="4"/>
  <c r="R275" i="4"/>
  <c r="S275" i="4"/>
  <c r="T275" i="4"/>
  <c r="U275" i="4"/>
  <c r="V275" i="4"/>
  <c r="W275" i="4"/>
  <c r="X275" i="4"/>
  <c r="Y275" i="4"/>
  <c r="Z275" i="4"/>
  <c r="AA275" i="4"/>
  <c r="AB275" i="4"/>
  <c r="AC275" i="4"/>
  <c r="AD275" i="4"/>
  <c r="AE275" i="4"/>
  <c r="AF275" i="4"/>
  <c r="AG275" i="4"/>
  <c r="AH275" i="4"/>
  <c r="AI275" i="4"/>
  <c r="AJ275" i="4"/>
  <c r="H276" i="4"/>
  <c r="I276" i="4"/>
  <c r="J276" i="4"/>
  <c r="K276" i="4"/>
  <c r="L276" i="4"/>
  <c r="M276" i="4"/>
  <c r="N276" i="4"/>
  <c r="O276" i="4"/>
  <c r="P276" i="4"/>
  <c r="Q276" i="4"/>
  <c r="R276" i="4"/>
  <c r="S276" i="4"/>
  <c r="T276" i="4"/>
  <c r="U276" i="4"/>
  <c r="V276" i="4"/>
  <c r="W276" i="4"/>
  <c r="X276" i="4"/>
  <c r="Y276" i="4"/>
  <c r="Z276" i="4"/>
  <c r="AA276" i="4"/>
  <c r="AB276" i="4"/>
  <c r="AC276" i="4"/>
  <c r="AD276" i="4"/>
  <c r="AE276" i="4"/>
  <c r="AF276" i="4"/>
  <c r="AG276" i="4"/>
  <c r="AH276" i="4"/>
  <c r="AI276" i="4"/>
  <c r="AJ276" i="4"/>
  <c r="H277" i="4"/>
  <c r="I277" i="4"/>
  <c r="J277" i="4"/>
  <c r="K277" i="4"/>
  <c r="L277" i="4"/>
  <c r="M277" i="4"/>
  <c r="N277" i="4"/>
  <c r="O277" i="4"/>
  <c r="P277" i="4"/>
  <c r="Q277" i="4"/>
  <c r="R277" i="4"/>
  <c r="S277" i="4"/>
  <c r="T277" i="4"/>
  <c r="U277" i="4"/>
  <c r="V277" i="4"/>
  <c r="W277" i="4"/>
  <c r="X277" i="4"/>
  <c r="Y277" i="4"/>
  <c r="Z277" i="4"/>
  <c r="AA277" i="4"/>
  <c r="AB277" i="4"/>
  <c r="AC277" i="4"/>
  <c r="AD277" i="4"/>
  <c r="AE277" i="4"/>
  <c r="AF277" i="4"/>
  <c r="AG277" i="4"/>
  <c r="AH277" i="4"/>
  <c r="AI277" i="4"/>
  <c r="AJ277" i="4"/>
  <c r="H278" i="4"/>
  <c r="I278" i="4"/>
  <c r="J278" i="4"/>
  <c r="K278" i="4"/>
  <c r="L278" i="4"/>
  <c r="M278" i="4"/>
  <c r="N278" i="4"/>
  <c r="O278" i="4"/>
  <c r="P278" i="4"/>
  <c r="Q278" i="4"/>
  <c r="R278" i="4"/>
  <c r="S278" i="4"/>
  <c r="T278" i="4"/>
  <c r="U278" i="4"/>
  <c r="V278" i="4"/>
  <c r="W278" i="4"/>
  <c r="X278" i="4"/>
  <c r="Y278" i="4"/>
  <c r="Z278" i="4"/>
  <c r="AA278" i="4"/>
  <c r="AB278" i="4"/>
  <c r="AC278" i="4"/>
  <c r="AD278" i="4"/>
  <c r="AE278" i="4"/>
  <c r="AF278" i="4"/>
  <c r="AG278" i="4"/>
  <c r="AH278" i="4"/>
  <c r="AI278" i="4"/>
  <c r="AJ278" i="4"/>
  <c r="H279" i="4"/>
  <c r="I279" i="4"/>
  <c r="J279" i="4"/>
  <c r="K279" i="4"/>
  <c r="L279" i="4"/>
  <c r="M279" i="4"/>
  <c r="N279" i="4"/>
  <c r="O279" i="4"/>
  <c r="P279" i="4"/>
  <c r="Q279" i="4"/>
  <c r="R279" i="4"/>
  <c r="S279" i="4"/>
  <c r="T279" i="4"/>
  <c r="U279" i="4"/>
  <c r="V279" i="4"/>
  <c r="W279" i="4"/>
  <c r="X279" i="4"/>
  <c r="Y279" i="4"/>
  <c r="Z279" i="4"/>
  <c r="AA279" i="4"/>
  <c r="AB279" i="4"/>
  <c r="AC279" i="4"/>
  <c r="AD279" i="4"/>
  <c r="AE279" i="4"/>
  <c r="AF279" i="4"/>
  <c r="AG279" i="4"/>
  <c r="AH279" i="4"/>
  <c r="AI279" i="4"/>
  <c r="AJ279" i="4"/>
  <c r="H280" i="4"/>
  <c r="I280" i="4"/>
  <c r="J280" i="4"/>
  <c r="K280" i="4"/>
  <c r="L280" i="4"/>
  <c r="M280" i="4"/>
  <c r="N280" i="4"/>
  <c r="O280" i="4"/>
  <c r="P280" i="4"/>
  <c r="Q280" i="4"/>
  <c r="R280" i="4"/>
  <c r="S280" i="4"/>
  <c r="T280" i="4"/>
  <c r="U280" i="4"/>
  <c r="V280" i="4"/>
  <c r="W280" i="4"/>
  <c r="X280" i="4"/>
  <c r="Y280" i="4"/>
  <c r="Z280" i="4"/>
  <c r="AA280" i="4"/>
  <c r="AB280" i="4"/>
  <c r="AC280" i="4"/>
  <c r="AD280" i="4"/>
  <c r="AE280" i="4"/>
  <c r="AF280" i="4"/>
  <c r="AG280" i="4"/>
  <c r="AH280" i="4"/>
  <c r="AI280" i="4"/>
  <c r="AJ280" i="4"/>
  <c r="H281" i="4"/>
  <c r="I281" i="4"/>
  <c r="J281" i="4"/>
  <c r="K281" i="4"/>
  <c r="L281" i="4"/>
  <c r="M281" i="4"/>
  <c r="N281" i="4"/>
  <c r="O281" i="4"/>
  <c r="P281" i="4"/>
  <c r="Q281" i="4"/>
  <c r="R281" i="4"/>
  <c r="S281" i="4"/>
  <c r="T281" i="4"/>
  <c r="U281" i="4"/>
  <c r="V281" i="4"/>
  <c r="W281" i="4"/>
  <c r="X281" i="4"/>
  <c r="Y281" i="4"/>
  <c r="Z281" i="4"/>
  <c r="AA281" i="4"/>
  <c r="AB281" i="4"/>
  <c r="AC281" i="4"/>
  <c r="AD281" i="4"/>
  <c r="AE281" i="4"/>
  <c r="AF281" i="4"/>
  <c r="AG281" i="4"/>
  <c r="AH281" i="4"/>
  <c r="AI281" i="4"/>
  <c r="AJ281" i="4"/>
  <c r="H282" i="4"/>
  <c r="I282" i="4"/>
  <c r="J282" i="4"/>
  <c r="K282" i="4"/>
  <c r="L282" i="4"/>
  <c r="M282" i="4"/>
  <c r="N282" i="4"/>
  <c r="O282" i="4"/>
  <c r="P282" i="4"/>
  <c r="Q282" i="4"/>
  <c r="R282" i="4"/>
  <c r="S282" i="4"/>
  <c r="T282" i="4"/>
  <c r="U282" i="4"/>
  <c r="V282" i="4"/>
  <c r="W282" i="4"/>
  <c r="X282" i="4"/>
  <c r="Y282" i="4"/>
  <c r="Z282" i="4"/>
  <c r="AA282" i="4"/>
  <c r="AB282" i="4"/>
  <c r="AC282" i="4"/>
  <c r="AD282" i="4"/>
  <c r="AE282" i="4"/>
  <c r="AF282" i="4"/>
  <c r="AG282" i="4"/>
  <c r="AH282" i="4"/>
  <c r="AI282" i="4"/>
  <c r="AJ282" i="4"/>
  <c r="H283" i="4"/>
  <c r="I283" i="4"/>
  <c r="J283" i="4"/>
  <c r="K283" i="4"/>
  <c r="L283" i="4"/>
  <c r="M283" i="4"/>
  <c r="N283" i="4"/>
  <c r="O283" i="4"/>
  <c r="P283" i="4"/>
  <c r="Q283" i="4"/>
  <c r="R283" i="4"/>
  <c r="S283" i="4"/>
  <c r="T283" i="4"/>
  <c r="U283" i="4"/>
  <c r="V283" i="4"/>
  <c r="W283" i="4"/>
  <c r="X283" i="4"/>
  <c r="Y283" i="4"/>
  <c r="Z283" i="4"/>
  <c r="AA283" i="4"/>
  <c r="AB283" i="4"/>
  <c r="AC283" i="4"/>
  <c r="AD283" i="4"/>
  <c r="AE283" i="4"/>
  <c r="AF283" i="4"/>
  <c r="AG283" i="4"/>
  <c r="AH283" i="4"/>
  <c r="AI283" i="4"/>
  <c r="AJ283" i="4"/>
  <c r="H284" i="4"/>
  <c r="I284" i="4"/>
  <c r="J284" i="4"/>
  <c r="K284" i="4"/>
  <c r="L284" i="4"/>
  <c r="M284" i="4"/>
  <c r="N284" i="4"/>
  <c r="O284" i="4"/>
  <c r="P284" i="4"/>
  <c r="Q284" i="4"/>
  <c r="R284" i="4"/>
  <c r="S284" i="4"/>
  <c r="T284" i="4"/>
  <c r="U284" i="4"/>
  <c r="V284" i="4"/>
  <c r="W284" i="4"/>
  <c r="X284" i="4"/>
  <c r="Y284" i="4"/>
  <c r="Z284" i="4"/>
  <c r="AA284" i="4"/>
  <c r="AB284" i="4"/>
  <c r="AC284" i="4"/>
  <c r="AD284" i="4"/>
  <c r="AE284" i="4"/>
  <c r="AF284" i="4"/>
  <c r="AG284" i="4"/>
  <c r="AH284" i="4"/>
  <c r="AI284" i="4"/>
  <c r="AJ284" i="4"/>
  <c r="H285" i="4"/>
  <c r="I285" i="4"/>
  <c r="J285" i="4"/>
  <c r="K285" i="4"/>
  <c r="L285" i="4"/>
  <c r="M285" i="4"/>
  <c r="N285" i="4"/>
  <c r="O285" i="4"/>
  <c r="P285" i="4"/>
  <c r="Q285" i="4"/>
  <c r="R285" i="4"/>
  <c r="S285" i="4"/>
  <c r="T285" i="4"/>
  <c r="U285" i="4"/>
  <c r="V285" i="4"/>
  <c r="W285" i="4"/>
  <c r="X285" i="4"/>
  <c r="Y285" i="4"/>
  <c r="Z285" i="4"/>
  <c r="AA285" i="4"/>
  <c r="AB285" i="4"/>
  <c r="AC285" i="4"/>
  <c r="AD285" i="4"/>
  <c r="AE285" i="4"/>
  <c r="AF285" i="4"/>
  <c r="AG285" i="4"/>
  <c r="AH285" i="4"/>
  <c r="AI285" i="4"/>
  <c r="AJ285" i="4"/>
  <c r="H286" i="4"/>
  <c r="I286" i="4"/>
  <c r="J286" i="4"/>
  <c r="K286" i="4"/>
  <c r="L286" i="4"/>
  <c r="M286" i="4"/>
  <c r="N286" i="4"/>
  <c r="O286" i="4"/>
  <c r="P286" i="4"/>
  <c r="Q286" i="4"/>
  <c r="R286" i="4"/>
  <c r="S286" i="4"/>
  <c r="T286" i="4"/>
  <c r="U286" i="4"/>
  <c r="V286" i="4"/>
  <c r="W286" i="4"/>
  <c r="X286" i="4"/>
  <c r="Y286" i="4"/>
  <c r="Z286" i="4"/>
  <c r="AA286" i="4"/>
  <c r="AB286" i="4"/>
  <c r="AC286" i="4"/>
  <c r="AD286" i="4"/>
  <c r="AE286" i="4"/>
  <c r="AF286" i="4"/>
  <c r="AG286" i="4"/>
  <c r="AH286" i="4"/>
  <c r="AI286" i="4"/>
  <c r="AJ286" i="4"/>
  <c r="H287" i="4"/>
  <c r="I287" i="4"/>
  <c r="J287" i="4"/>
  <c r="K287" i="4"/>
  <c r="L287" i="4"/>
  <c r="M287" i="4"/>
  <c r="N287" i="4"/>
  <c r="O287" i="4"/>
  <c r="P287" i="4"/>
  <c r="Q287" i="4"/>
  <c r="R287" i="4"/>
  <c r="S287" i="4"/>
  <c r="T287" i="4"/>
  <c r="U287" i="4"/>
  <c r="V287" i="4"/>
  <c r="W287" i="4"/>
  <c r="X287" i="4"/>
  <c r="Y287" i="4"/>
  <c r="Z287" i="4"/>
  <c r="AA287" i="4"/>
  <c r="AB287" i="4"/>
  <c r="AC287" i="4"/>
  <c r="AD287" i="4"/>
  <c r="AE287" i="4"/>
  <c r="AF287" i="4"/>
  <c r="AG287" i="4"/>
  <c r="AH287" i="4"/>
  <c r="AI287" i="4"/>
  <c r="AJ287" i="4"/>
  <c r="H288" i="4"/>
  <c r="I288" i="4"/>
  <c r="J288" i="4"/>
  <c r="K288" i="4"/>
  <c r="L288" i="4"/>
  <c r="M288" i="4"/>
  <c r="N288" i="4"/>
  <c r="O288" i="4"/>
  <c r="P288" i="4"/>
  <c r="Q288" i="4"/>
  <c r="R288" i="4"/>
  <c r="S288" i="4"/>
  <c r="T288" i="4"/>
  <c r="U288" i="4"/>
  <c r="V288" i="4"/>
  <c r="W288" i="4"/>
  <c r="X288" i="4"/>
  <c r="Y288" i="4"/>
  <c r="Z288" i="4"/>
  <c r="AA288" i="4"/>
  <c r="AB288" i="4"/>
  <c r="AC288" i="4"/>
  <c r="AD288" i="4"/>
  <c r="AE288" i="4"/>
  <c r="AF288" i="4"/>
  <c r="AG288" i="4"/>
  <c r="AH288" i="4"/>
  <c r="AI288" i="4"/>
  <c r="AJ288" i="4"/>
  <c r="H289" i="4"/>
  <c r="I289" i="4"/>
  <c r="J289" i="4"/>
  <c r="K289" i="4"/>
  <c r="L289" i="4"/>
  <c r="M289" i="4"/>
  <c r="N289" i="4"/>
  <c r="O289" i="4"/>
  <c r="P289" i="4"/>
  <c r="Q289" i="4"/>
  <c r="R289" i="4"/>
  <c r="S289" i="4"/>
  <c r="T289" i="4"/>
  <c r="U289" i="4"/>
  <c r="V289" i="4"/>
  <c r="W289" i="4"/>
  <c r="X289" i="4"/>
  <c r="Y289" i="4"/>
  <c r="Z289" i="4"/>
  <c r="AA289" i="4"/>
  <c r="AB289" i="4"/>
  <c r="AC289" i="4"/>
  <c r="AD289" i="4"/>
  <c r="AE289" i="4"/>
  <c r="AF289" i="4"/>
  <c r="AG289" i="4"/>
  <c r="AH289" i="4"/>
  <c r="AI289" i="4"/>
  <c r="AJ289" i="4"/>
  <c r="H290" i="4"/>
  <c r="I290" i="4"/>
  <c r="J290" i="4"/>
  <c r="K290" i="4"/>
  <c r="L290" i="4"/>
  <c r="M290" i="4"/>
  <c r="N290" i="4"/>
  <c r="O290" i="4"/>
  <c r="P290" i="4"/>
  <c r="Q290" i="4"/>
  <c r="R290" i="4"/>
  <c r="S290" i="4"/>
  <c r="T290" i="4"/>
  <c r="U290" i="4"/>
  <c r="V290" i="4"/>
  <c r="W290" i="4"/>
  <c r="X290" i="4"/>
  <c r="Y290" i="4"/>
  <c r="Z290" i="4"/>
  <c r="AA290" i="4"/>
  <c r="AB290" i="4"/>
  <c r="AC290" i="4"/>
  <c r="AD290" i="4"/>
  <c r="AE290" i="4"/>
  <c r="AF290" i="4"/>
  <c r="AG290" i="4"/>
  <c r="AH290" i="4"/>
  <c r="AI290" i="4"/>
  <c r="AJ290" i="4"/>
  <c r="H291" i="4"/>
  <c r="I291" i="4"/>
  <c r="J291" i="4"/>
  <c r="K291" i="4"/>
  <c r="L291" i="4"/>
  <c r="M291" i="4"/>
  <c r="N291" i="4"/>
  <c r="O291" i="4"/>
  <c r="P291" i="4"/>
  <c r="Q291" i="4"/>
  <c r="R291" i="4"/>
  <c r="S291" i="4"/>
  <c r="T291" i="4"/>
  <c r="U291" i="4"/>
  <c r="V291" i="4"/>
  <c r="W291" i="4"/>
  <c r="X291" i="4"/>
  <c r="Y291" i="4"/>
  <c r="Z291" i="4"/>
  <c r="AA291" i="4"/>
  <c r="AB291" i="4"/>
  <c r="AC291" i="4"/>
  <c r="AD291" i="4"/>
  <c r="AE291" i="4"/>
  <c r="AF291" i="4"/>
  <c r="AG291" i="4"/>
  <c r="AH291" i="4"/>
  <c r="AI291" i="4"/>
  <c r="AJ291" i="4"/>
  <c r="H292" i="4"/>
  <c r="I292" i="4"/>
  <c r="J292" i="4"/>
  <c r="K292" i="4"/>
  <c r="L292" i="4"/>
  <c r="M292" i="4"/>
  <c r="N292" i="4"/>
  <c r="O292" i="4"/>
  <c r="P292" i="4"/>
  <c r="Q292" i="4"/>
  <c r="R292" i="4"/>
  <c r="S292" i="4"/>
  <c r="T292" i="4"/>
  <c r="U292" i="4"/>
  <c r="V292" i="4"/>
  <c r="W292" i="4"/>
  <c r="X292" i="4"/>
  <c r="Y292" i="4"/>
  <c r="Z292" i="4"/>
  <c r="AA292" i="4"/>
  <c r="AB292" i="4"/>
  <c r="AC292" i="4"/>
  <c r="AD292" i="4"/>
  <c r="AE292" i="4"/>
  <c r="AF292" i="4"/>
  <c r="AG292" i="4"/>
  <c r="AH292" i="4"/>
  <c r="AI292" i="4"/>
  <c r="AJ292" i="4"/>
  <c r="H293" i="4"/>
  <c r="I293" i="4"/>
  <c r="J293" i="4"/>
  <c r="K293" i="4"/>
  <c r="L293" i="4"/>
  <c r="M293" i="4"/>
  <c r="N293" i="4"/>
  <c r="O293" i="4"/>
  <c r="P293" i="4"/>
  <c r="Q293" i="4"/>
  <c r="R293" i="4"/>
  <c r="S293" i="4"/>
  <c r="T293" i="4"/>
  <c r="U293" i="4"/>
  <c r="V293" i="4"/>
  <c r="W293" i="4"/>
  <c r="X293" i="4"/>
  <c r="Y293" i="4"/>
  <c r="Z293" i="4"/>
  <c r="AA293" i="4"/>
  <c r="AB293" i="4"/>
  <c r="AC293" i="4"/>
  <c r="AD293" i="4"/>
  <c r="AE293" i="4"/>
  <c r="AF293" i="4"/>
  <c r="AG293" i="4"/>
  <c r="AH293" i="4"/>
  <c r="AI293" i="4"/>
  <c r="AJ293" i="4"/>
  <c r="H294" i="4"/>
  <c r="I294" i="4"/>
  <c r="J294" i="4"/>
  <c r="K294" i="4"/>
  <c r="L294" i="4"/>
  <c r="M294" i="4"/>
  <c r="N294" i="4"/>
  <c r="O294" i="4"/>
  <c r="P294" i="4"/>
  <c r="Q294" i="4"/>
  <c r="R294" i="4"/>
  <c r="S294" i="4"/>
  <c r="T294" i="4"/>
  <c r="U294" i="4"/>
  <c r="V294" i="4"/>
  <c r="W294" i="4"/>
  <c r="X294" i="4"/>
  <c r="Y294" i="4"/>
  <c r="Z294" i="4"/>
  <c r="AA294" i="4"/>
  <c r="AB294" i="4"/>
  <c r="AC294" i="4"/>
  <c r="AD294" i="4"/>
  <c r="AE294" i="4"/>
  <c r="AF294" i="4"/>
  <c r="AG294" i="4"/>
  <c r="AH294" i="4"/>
  <c r="AI294" i="4"/>
  <c r="AJ294" i="4"/>
  <c r="H295" i="4"/>
  <c r="I295" i="4"/>
  <c r="J295" i="4"/>
  <c r="K295" i="4"/>
  <c r="L295" i="4"/>
  <c r="M295" i="4"/>
  <c r="N295" i="4"/>
  <c r="O295" i="4"/>
  <c r="P295" i="4"/>
  <c r="Q295" i="4"/>
  <c r="R295" i="4"/>
  <c r="S295" i="4"/>
  <c r="T295" i="4"/>
  <c r="U295" i="4"/>
  <c r="V295" i="4"/>
  <c r="W295" i="4"/>
  <c r="X295" i="4"/>
  <c r="Y295" i="4"/>
  <c r="Z295" i="4"/>
  <c r="AA295" i="4"/>
  <c r="AB295" i="4"/>
  <c r="AC295" i="4"/>
  <c r="AD295" i="4"/>
  <c r="AE295" i="4"/>
  <c r="AF295" i="4"/>
  <c r="AG295" i="4"/>
  <c r="AH295" i="4"/>
  <c r="AI295" i="4"/>
  <c r="AJ295" i="4"/>
  <c r="H296" i="4"/>
  <c r="I296" i="4"/>
  <c r="J296" i="4"/>
  <c r="K296" i="4"/>
  <c r="L296" i="4"/>
  <c r="M296" i="4"/>
  <c r="N296" i="4"/>
  <c r="O296" i="4"/>
  <c r="P296" i="4"/>
  <c r="Q296" i="4"/>
  <c r="R296" i="4"/>
  <c r="S296" i="4"/>
  <c r="T296" i="4"/>
  <c r="U296" i="4"/>
  <c r="V296" i="4"/>
  <c r="W296" i="4"/>
  <c r="X296" i="4"/>
  <c r="Y296" i="4"/>
  <c r="Z296" i="4"/>
  <c r="AA296" i="4"/>
  <c r="AB296" i="4"/>
  <c r="AC296" i="4"/>
  <c r="AD296" i="4"/>
  <c r="AE296" i="4"/>
  <c r="AF296" i="4"/>
  <c r="AG296" i="4"/>
  <c r="AH296" i="4"/>
  <c r="AI296" i="4"/>
  <c r="AJ296" i="4"/>
  <c r="H297" i="4"/>
  <c r="I297" i="4"/>
  <c r="J297" i="4"/>
  <c r="K297" i="4"/>
  <c r="L297" i="4"/>
  <c r="M297" i="4"/>
  <c r="N297" i="4"/>
  <c r="O297" i="4"/>
  <c r="P297" i="4"/>
  <c r="Q297" i="4"/>
  <c r="R297" i="4"/>
  <c r="S297" i="4"/>
  <c r="T297" i="4"/>
  <c r="U297" i="4"/>
  <c r="V297" i="4"/>
  <c r="W297" i="4"/>
  <c r="X297" i="4"/>
  <c r="Y297" i="4"/>
  <c r="Z297" i="4"/>
  <c r="AA297" i="4"/>
  <c r="AB297" i="4"/>
  <c r="AC297" i="4"/>
  <c r="AD297" i="4"/>
  <c r="AE297" i="4"/>
  <c r="AF297" i="4"/>
  <c r="AG297" i="4"/>
  <c r="AH297" i="4"/>
  <c r="AI297" i="4"/>
  <c r="AJ297" i="4"/>
  <c r="H298" i="4"/>
  <c r="I298" i="4"/>
  <c r="J298" i="4"/>
  <c r="K298" i="4"/>
  <c r="L298" i="4"/>
  <c r="M298" i="4"/>
  <c r="N298" i="4"/>
  <c r="O298" i="4"/>
  <c r="P298" i="4"/>
  <c r="Q298" i="4"/>
  <c r="R298" i="4"/>
  <c r="S298" i="4"/>
  <c r="T298" i="4"/>
  <c r="U298" i="4"/>
  <c r="V298" i="4"/>
  <c r="W298" i="4"/>
  <c r="X298" i="4"/>
  <c r="Y298" i="4"/>
  <c r="Z298" i="4"/>
  <c r="AA298" i="4"/>
  <c r="AB298" i="4"/>
  <c r="AC298" i="4"/>
  <c r="AD298" i="4"/>
  <c r="AE298" i="4"/>
  <c r="AF298" i="4"/>
  <c r="AG298" i="4"/>
  <c r="AH298" i="4"/>
  <c r="AI298" i="4"/>
  <c r="AJ298" i="4"/>
  <c r="H299" i="4"/>
  <c r="I299" i="4"/>
  <c r="J299" i="4"/>
  <c r="K299" i="4"/>
  <c r="L299" i="4"/>
  <c r="M299" i="4"/>
  <c r="N299" i="4"/>
  <c r="O299" i="4"/>
  <c r="P299" i="4"/>
  <c r="Q299" i="4"/>
  <c r="R299" i="4"/>
  <c r="S299" i="4"/>
  <c r="T299" i="4"/>
  <c r="U299" i="4"/>
  <c r="V299" i="4"/>
  <c r="W299" i="4"/>
  <c r="X299" i="4"/>
  <c r="Y299" i="4"/>
  <c r="Z299" i="4"/>
  <c r="AA299" i="4"/>
  <c r="AB299" i="4"/>
  <c r="AC299" i="4"/>
  <c r="AD299" i="4"/>
  <c r="AE299" i="4"/>
  <c r="AF299" i="4"/>
  <c r="AG299" i="4"/>
  <c r="AH299" i="4"/>
  <c r="AI299" i="4"/>
  <c r="AJ299" i="4"/>
  <c r="H300" i="4"/>
  <c r="I300" i="4"/>
  <c r="J300" i="4"/>
  <c r="K300" i="4"/>
  <c r="L300" i="4"/>
  <c r="M300" i="4"/>
  <c r="N300" i="4"/>
  <c r="O300" i="4"/>
  <c r="P300" i="4"/>
  <c r="Q300" i="4"/>
  <c r="R300" i="4"/>
  <c r="S300" i="4"/>
  <c r="T300" i="4"/>
  <c r="U300" i="4"/>
  <c r="V300" i="4"/>
  <c r="W300" i="4"/>
  <c r="X300" i="4"/>
  <c r="Y300" i="4"/>
  <c r="Z300" i="4"/>
  <c r="AA300" i="4"/>
  <c r="AB300" i="4"/>
  <c r="AC300" i="4"/>
  <c r="AD300" i="4"/>
  <c r="AE300" i="4"/>
  <c r="AF300" i="4"/>
  <c r="AG300" i="4"/>
  <c r="AH300" i="4"/>
  <c r="AI300" i="4"/>
  <c r="AJ300" i="4"/>
  <c r="AJ14" i="4"/>
  <c r="AI20" i="5" l="1"/>
  <c r="Q20" i="5"/>
  <c r="G20" i="5"/>
  <c r="AH20" i="5"/>
  <c r="AF20" i="5"/>
  <c r="F20" i="5"/>
  <c r="M20" i="5"/>
  <c r="N20" i="5"/>
  <c r="H20" i="5"/>
  <c r="U20" i="5"/>
  <c r="L20" i="5"/>
  <c r="T20" i="5"/>
  <c r="O20" i="5"/>
  <c r="Z20" i="5"/>
  <c r="X20" i="5"/>
  <c r="AD20" i="5"/>
  <c r="J20" i="5"/>
  <c r="K20" i="5"/>
  <c r="AB20" i="5"/>
  <c r="W20" i="5"/>
  <c r="S20" i="5"/>
  <c r="AE20" i="5"/>
  <c r="AG20" i="5"/>
  <c r="P20" i="5"/>
  <c r="V20" i="5"/>
  <c r="AA20" i="5"/>
  <c r="I20" i="5"/>
  <c r="Y20" i="5"/>
  <c r="AC20" i="5"/>
  <c r="R20" i="5"/>
  <c r="AG21" i="5"/>
  <c r="Q21" i="5"/>
  <c r="AD21" i="5"/>
  <c r="Y21" i="5"/>
  <c r="V21" i="5"/>
  <c r="I21" i="5"/>
  <c r="AB21" i="5"/>
  <c r="L21" i="5"/>
  <c r="W21" i="5"/>
  <c r="O21" i="5"/>
  <c r="AE21" i="5"/>
  <c r="N21" i="5"/>
  <c r="AI21" i="5"/>
  <c r="S21" i="5"/>
  <c r="K21" i="5"/>
  <c r="Z21" i="5"/>
  <c r="R21" i="5"/>
  <c r="J21" i="5"/>
  <c r="AF21" i="5"/>
  <c r="X21" i="5"/>
  <c r="AC21" i="5"/>
  <c r="U21" i="5"/>
  <c r="M21" i="5"/>
  <c r="P21" i="5"/>
  <c r="G21" i="5"/>
  <c r="H21" i="5"/>
  <c r="F21" i="5"/>
  <c r="C5" i="1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J3" i="5" l="1"/>
  <c r="J4" i="5"/>
</calcChain>
</file>

<file path=xl/sharedStrings.xml><?xml version="1.0" encoding="utf-8"?>
<sst xmlns="http://schemas.openxmlformats.org/spreadsheetml/2006/main" count="582" uniqueCount="103">
  <si>
    <t>Leave Planner</t>
  </si>
  <si>
    <t>Absence Type</t>
  </si>
  <si>
    <t>Code</t>
  </si>
  <si>
    <t>Annual Leave</t>
  </si>
  <si>
    <t>AL</t>
  </si>
  <si>
    <t>MC</t>
  </si>
  <si>
    <t>Unpaid Leave</t>
  </si>
  <si>
    <t>Others</t>
  </si>
  <si>
    <t>O</t>
  </si>
  <si>
    <t>*For Others, please check with supervisor prior to record down the leave dates</t>
  </si>
  <si>
    <t>Staff Code</t>
  </si>
  <si>
    <t>Staff Name</t>
  </si>
  <si>
    <t>PS001</t>
  </si>
  <si>
    <t>Lim Ah Bock</t>
  </si>
  <si>
    <t>PS002</t>
  </si>
  <si>
    <t>Tan Siew Ping</t>
  </si>
  <si>
    <t>PS003</t>
  </si>
  <si>
    <t>Maryanne Soh</t>
  </si>
  <si>
    <t>PS004</t>
  </si>
  <si>
    <t xml:space="preserve">Teh Jia Ling </t>
  </si>
  <si>
    <t>PS005</t>
  </si>
  <si>
    <t>Tng Jia Jia</t>
  </si>
  <si>
    <t>PS006</t>
  </si>
  <si>
    <t>Rachel Koh Beh Beh</t>
  </si>
  <si>
    <t>PS007</t>
  </si>
  <si>
    <t>Siti Haslina Binte Mohd Raihan</t>
  </si>
  <si>
    <t>PS008</t>
  </si>
  <si>
    <t>Deeptishika Ananya Kaur</t>
  </si>
  <si>
    <t>PS009</t>
  </si>
  <si>
    <t>Faziah Hassan Binte Mohammad Noor</t>
  </si>
  <si>
    <t>PS010</t>
  </si>
  <si>
    <t>Aisyah Nabilah Binte Muhamad Hazim</t>
  </si>
  <si>
    <t>PS011</t>
  </si>
  <si>
    <t xml:space="preserve">Chen Siew Ching </t>
  </si>
  <si>
    <t>PS012</t>
  </si>
  <si>
    <t>Yin Xin Xin</t>
  </si>
  <si>
    <t>PS013</t>
  </si>
  <si>
    <t>Lim Xue Yu</t>
  </si>
  <si>
    <t>PS014</t>
  </si>
  <si>
    <t xml:space="preserve">Joanna Peng </t>
  </si>
  <si>
    <t>PS015</t>
  </si>
  <si>
    <t>He Ya Hui</t>
  </si>
  <si>
    <t>No</t>
  </si>
  <si>
    <t xml:space="preserve">Registration System </t>
  </si>
  <si>
    <t>Payment System</t>
  </si>
  <si>
    <t>Referral System</t>
  </si>
  <si>
    <t>Administrative Duties</t>
  </si>
  <si>
    <t>Staff Availability Records</t>
  </si>
  <si>
    <t>Month:</t>
  </si>
  <si>
    <t>Total Work Days</t>
  </si>
  <si>
    <t>Date macro to autofill by month</t>
  </si>
  <si>
    <t>Year: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</si>
  <si>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</si>
  <si>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</si>
  <si>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</si>
  <si>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</si>
  <si>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</si>
  <si>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</si>
  <si>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</si>
  <si>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</si>
  <si>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</si>
  <si>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</si>
  <si>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</si>
  <si>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</si>
  <si>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Incomplete:</t>
  </si>
  <si>
    <t>Factor in PH</t>
  </si>
  <si>
    <t>Sick Leave</t>
  </si>
  <si>
    <t>*For Sick Leave, supervisor will input on behalf of staff</t>
  </si>
  <si>
    <t>*If 2 person is already confirmed taking leave, please negotiate internally, or check with supervisor before input</t>
  </si>
  <si>
    <t>UL</t>
  </si>
  <si>
    <t>Number of Staff on Leave</t>
  </si>
  <si>
    <t>Number of Staffs Available</t>
  </si>
  <si>
    <t>Duty Roster</t>
  </si>
  <si>
    <t xml:space="preserve">Competency </t>
  </si>
  <si>
    <t>Station</t>
  </si>
  <si>
    <t>People Skill</t>
  </si>
  <si>
    <t>Customer Service</t>
  </si>
  <si>
    <t>Registration</t>
  </si>
  <si>
    <t>Payment</t>
  </si>
  <si>
    <t>Administration</t>
  </si>
  <si>
    <t>Referral Services</t>
  </si>
  <si>
    <t>CS</t>
  </si>
  <si>
    <t>P</t>
  </si>
  <si>
    <t>Ref</t>
  </si>
  <si>
    <t>Reg</t>
  </si>
  <si>
    <t>A</t>
  </si>
  <si>
    <t>Staff Available</t>
  </si>
  <si>
    <t>Fulfil Min Staff Allocation?</t>
  </si>
  <si>
    <t>Fulfil Staff Requirement</t>
  </si>
  <si>
    <t>Staff Needed</t>
  </si>
  <si>
    <t>Workdays</t>
  </si>
  <si>
    <t>Staff Allocated</t>
  </si>
  <si>
    <t>Total Staffs</t>
  </si>
  <si>
    <t xml:space="preserve"> </t>
  </si>
  <si>
    <t>=IF(LOOKUP($B27,StaffAvailability!$C$14:$C$28,StaffAvailability!F$14:F$28) = 1,1,0)</t>
  </si>
  <si>
    <t>Unallocated Count</t>
  </si>
  <si>
    <t>Standby</t>
  </si>
  <si>
    <t>Fulfil Min Staff per Station</t>
  </si>
  <si>
    <t>Min</t>
  </si>
  <si>
    <t>Wkday Staff Allocation</t>
  </si>
  <si>
    <t>Sat Staff Allocation</t>
  </si>
  <si>
    <t>Min Staff Required on Sat</t>
  </si>
  <si>
    <t>Do up a form to record the mistakes and do respective point deduction/addition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</si>
</sst>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"/>
    <numFmt numFmtId="165" formatCode="mmm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Agency FB"/>
      <family val="2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rgb="FFC0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4" fillId="0" borderId="0" xfId="0" applyFont="1"/>
    <xf numFmtId="0" fontId="5" fillId="0" borderId="3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/>
    <xf numFmtId="16" fontId="3" fillId="2" borderId="0" xfId="0" applyNumberFormat="1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1" fillId="2" borderId="0" xfId="0" applyFont="1" applyFill="1" applyAlignment="1">
      <alignment horizontal="left"/>
    </xf>
    <xf numFmtId="164" fontId="3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/>
    <xf numFmtId="0" fontId="2" fillId="0" borderId="0" xfId="0" applyFont="1"/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0" xfId="0" applyAlignment="1">
      <alignment horizontal="center"/>
    </xf>
    <xf numFmtId="17" fontId="0" fillId="0" borderId="0" xfId="0" applyNumberFormat="1" applyAlignment="1">
      <alignment horizontal="center"/>
    </xf>
    <xf numFmtId="0" fontId="0" fillId="0" borderId="0" xfId="0" applyFill="1"/>
    <xf numFmtId="0" fontId="6" fillId="0" borderId="0" xfId="0" applyFont="1" applyAlignment="1">
      <alignment horizontal="right"/>
    </xf>
    <xf numFmtId="0" fontId="0" fillId="0" borderId="0" xfId="0" applyBorder="1"/>
    <xf numFmtId="0" fontId="0" fillId="0" borderId="8" xfId="0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0" borderId="0" xfId="0" applyFill="1" applyBorder="1" applyAlignment="1">
      <alignment horizontal="center"/>
    </xf>
    <xf numFmtId="0" fontId="10" fillId="0" borderId="0" xfId="0" applyFont="1"/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9" xfId="0" applyFont="1" applyBorder="1"/>
    <xf numFmtId="0" fontId="2" fillId="0" borderId="0" xfId="0" applyFont="1" applyAlignment="1">
      <alignment horizontal="right"/>
    </xf>
    <xf numFmtId="165" fontId="8" fillId="0" borderId="0" xfId="0" applyNumberFormat="1" applyFont="1"/>
    <xf numFmtId="165" fontId="0" fillId="0" borderId="0" xfId="0" applyNumberFormat="1"/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8" xfId="0" applyBorder="1"/>
    <xf numFmtId="0" fontId="1" fillId="2" borderId="6" xfId="0" applyFont="1" applyFill="1" applyBorder="1"/>
    <xf numFmtId="0" fontId="0" fillId="0" borderId="0" xfId="0" applyAlignment="1">
      <alignment horizontal="center" vertical="center"/>
    </xf>
    <xf numFmtId="164" fontId="11" fillId="2" borderId="0" xfId="0" applyNumberFormat="1" applyFont="1" applyFill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0" fillId="0" borderId="0" xfId="0" quotePrefix="1"/>
    <xf numFmtId="0" fontId="0" fillId="0" borderId="0" xfId="0" applyAlignment="1"/>
    <xf numFmtId="0" fontId="0" fillId="0" borderId="5" xfId="0" applyBorder="1" applyAlignment="1">
      <alignment horizontal="left"/>
    </xf>
    <xf numFmtId="0" fontId="0" fillId="0" borderId="5" xfId="0" applyBorder="1" applyAlignme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1" fillId="2" borderId="3" xfId="0" applyFont="1" applyFill="1" applyBorder="1" applyAlignment="1">
      <alignment horizontal="center"/>
    </xf>
    <xf numFmtId="16" fontId="11" fillId="3" borderId="3" xfId="0" applyNumberFormat="1" applyFont="1" applyFill="1" applyBorder="1" applyAlignment="1">
      <alignment horizontal="center" vertical="center"/>
    </xf>
    <xf numFmtId="0" fontId="0" fillId="0" borderId="0" xfId="0" quotePrefix="1" applyAlignment="1">
      <alignment horizontal="left"/>
    </xf>
    <xf numFmtId="0" fontId="0" fillId="0" borderId="0" xfId="0"/>
    <xf numFmtId="0" fontId="12" fillId="0" borderId="0" xfId="0" applyFont="1"/>
    <xf numFmtId="0" fontId="12" fillId="0" borderId="0" xfId="0" applyFont="1" applyAlignment="1"/>
    <xf numFmtId="0" fontId="12" fillId="0" borderId="0" xfId="0" quotePrefix="1" applyFont="1" applyAlignment="1">
      <alignment horizontal="left"/>
    </xf>
    <xf numFmtId="0" fontId="0" fillId="0" borderId="0" xfId="0"/>
    <xf numFmtId="0" fontId="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quotePrefix="1" applyFont="1"/>
    <xf numFmtId="0" fontId="0" fillId="0" borderId="0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164" fontId="11" fillId="2" borderId="0" xfId="0" applyNumberFormat="1" applyFont="1" applyFill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left"/>
    </xf>
    <xf numFmtId="0" fontId="2" fillId="0" borderId="0" xfId="0" applyFont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2" borderId="3" xfId="0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</cellXfs>
  <cellStyles count="1">
    <cellStyle name="Normal" xfId="0" builtinId="0"/>
  </cellStyles>
  <dxfs count="4">
    <dxf>
      <font>
        <color theme="0"/>
      </font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color theme="1" tint="0.499984740745262"/>
      </font>
      <fill>
        <patternFill>
          <bgColor theme="1" tint="0.499984740745262"/>
        </patternFill>
      </fill>
    </dxf>
    <dxf>
      <font>
        <color auto="1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603250</xdr:colOff>
          <xdr:row>3</xdr:row>
          <xdr:rowOff>41275</xdr:rowOff>
        </xdr:from>
        <xdr:to>
          <xdr:col>17</xdr:col>
          <xdr:colOff>339725</xdr:colOff>
          <xdr:row>7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Staff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B8D3-AAA3-4C46-B8B2-92EEB1606BC0}">
  <sheetPr codeName="Sheet1"/>
  <dimension ref="A1:AM42"/>
  <sheetViews>
    <sheetView showGridLines="0" tabSelected="1" zoomScale="70" zoomScaleNormal="70" workbookViewId="0">
      <selection activeCell="C8" sqref="C8"/>
    </sheetView>
  </sheetViews>
  <sheetFormatPr defaultRowHeight="14.75" x14ac:dyDescent="0.75"/>
  <cols>
    <col min="1" max="1" width="7.953125" bestFit="1" customWidth="1"/>
    <col min="2" max="2" width="18.81640625" customWidth="1"/>
    <col min="3" max="3" width="18.26953125" customWidth="1"/>
    <col min="4" max="4" width="8.1796875" customWidth="1"/>
    <col min="5" max="5" width="22.453125" bestFit="1" customWidth="1"/>
    <col min="6" max="6" width="11.1328125" customWidth="1"/>
    <col min="7" max="7" width="8.7265625" customWidth="1"/>
  </cols>
  <sheetData>
    <row r="1" spans="1:39" x14ac:dyDescent="0.75">
      <c r="A1" s="30"/>
      <c r="E1" s="64"/>
      <c r="F1" s="64"/>
      <c r="G1" s="64"/>
      <c r="H1" s="64"/>
      <c r="I1" s="64"/>
      <c r="J1" s="64"/>
    </row>
    <row r="2" spans="1:39" ht="25.5" x14ac:dyDescent="1.05">
      <c r="A2" s="30" t="s">
        <v>53</v>
      </c>
      <c r="B2" s="1" t="s">
        <v>72</v>
      </c>
      <c r="E2" s="64"/>
      <c r="F2" s="64"/>
      <c r="G2" s="64"/>
      <c r="H2" s="64"/>
      <c r="I2" s="64"/>
      <c r="J2" s="64"/>
    </row>
    <row r="3" spans="1:39" x14ac:dyDescent="0.75">
      <c r="A3" s="30" t="s">
        <v>54</v>
      </c>
      <c r="E3" s="38" t="s">
        <v>90</v>
      </c>
      <c r="F3" s="71">
        <v>18</v>
      </c>
      <c r="G3" s="64"/>
      <c r="H3" s="64"/>
      <c r="I3" s="38" t="s">
        <v>88</v>
      </c>
      <c r="J3" s="23">
        <f>COUNT(F21:AI21)</f>
        <v>30</v>
      </c>
      <c r="N3" s="31"/>
    </row>
    <row r="4" spans="1:39" x14ac:dyDescent="0.75">
      <c r="A4" s="30" t="s">
        <v>55</v>
      </c>
      <c r="B4" s="14" t="s">
        <v>48</v>
      </c>
      <c r="C4" s="13" t="s">
        <v>55</v>
      </c>
      <c r="E4" s="38" t="s">
        <v>92</v>
      </c>
      <c r="F4" s="71">
        <f>COUNTIF(B27:B96,"*")</f>
        <v>15</v>
      </c>
      <c r="G4" s="71"/>
      <c r="H4" s="36"/>
      <c r="I4" s="38" t="s">
        <v>97</v>
      </c>
      <c r="J4" s="23">
        <f>COUNT(F20:AI20)</f>
        <v>30</v>
      </c>
      <c r="N4" s="31"/>
    </row>
    <row r="5" spans="1:39" x14ac:dyDescent="0.75">
      <c r="A5" s="30" t="s">
        <v>56</v>
      </c>
      <c r="B5" s="14" t="s">
        <v>51</v>
      </c>
      <c r="C5" s="12">
        <f ca="1">YEAR(NOW())</f>
        <v>2022</v>
      </c>
      <c r="E5" s="64"/>
      <c r="F5" s="64"/>
      <c r="G5" s="64"/>
      <c r="H5" s="64"/>
      <c r="I5" s="38" t="s">
        <v>101</v>
      </c>
      <c r="J5" s="71">
        <f>SUM(F8:G12)</f>
        <v>7</v>
      </c>
      <c r="K5" s="64"/>
      <c r="N5" s="31"/>
    </row>
    <row r="6" spans="1:39" x14ac:dyDescent="0.75">
      <c r="A6" s="30" t="s">
        <v>57</v>
      </c>
      <c r="E6" s="72" t="s">
        <v>98</v>
      </c>
      <c r="F6" s="75" t="s">
        <v>98</v>
      </c>
      <c r="G6" s="75"/>
      <c r="H6" s="64"/>
      <c r="I6" s="64"/>
      <c r="J6" s="64"/>
      <c r="K6" s="68"/>
      <c r="N6" s="31"/>
    </row>
    <row r="7" spans="1:39" ht="15.5" thickBot="1" x14ac:dyDescent="0.9">
      <c r="A7" s="30" t="s">
        <v>58</v>
      </c>
      <c r="B7" s="37" t="s">
        <v>74</v>
      </c>
      <c r="C7" s="37" t="s">
        <v>73</v>
      </c>
      <c r="D7" s="50" t="s">
        <v>2</v>
      </c>
      <c r="E7" s="50" t="s">
        <v>99</v>
      </c>
      <c r="F7" s="76" t="s">
        <v>100</v>
      </c>
      <c r="G7" s="76"/>
      <c r="H7" s="14"/>
      <c r="I7" s="64"/>
      <c r="J7" s="64"/>
      <c r="K7" s="65"/>
    </row>
    <row r="8" spans="1:39" x14ac:dyDescent="0.75">
      <c r="A8" s="30" t="s">
        <v>59</v>
      </c>
      <c r="B8" s="54" t="s">
        <v>76</v>
      </c>
      <c r="C8" s="53" t="s">
        <v>75</v>
      </c>
      <c r="D8" s="44" t="s">
        <v>81</v>
      </c>
      <c r="E8" s="73">
        <v>2</v>
      </c>
      <c r="F8" s="77">
        <v>1</v>
      </c>
      <c r="G8" s="77"/>
      <c r="H8" s="64"/>
      <c r="I8" s="64"/>
      <c r="J8" s="64"/>
      <c r="N8" s="51"/>
    </row>
    <row r="9" spans="1:39" x14ac:dyDescent="0.75">
      <c r="A9" s="30" t="s">
        <v>60</v>
      </c>
      <c r="B9" s="52" t="s">
        <v>77</v>
      </c>
      <c r="C9" s="43" t="s">
        <v>43</v>
      </c>
      <c r="D9" s="44" t="s">
        <v>84</v>
      </c>
      <c r="E9" s="23">
        <v>3</v>
      </c>
      <c r="F9" s="78">
        <v>2</v>
      </c>
      <c r="G9" s="78"/>
      <c r="H9" s="64"/>
      <c r="I9" s="64"/>
      <c r="J9" s="64"/>
      <c r="N9" s="51"/>
    </row>
    <row r="10" spans="1:39" x14ac:dyDescent="0.75">
      <c r="A10" s="30" t="s">
        <v>61</v>
      </c>
      <c r="B10" s="52" t="s">
        <v>78</v>
      </c>
      <c r="C10" s="43" t="s">
        <v>44</v>
      </c>
      <c r="D10" s="44" t="s">
        <v>82</v>
      </c>
      <c r="E10" s="23">
        <v>3</v>
      </c>
      <c r="F10" s="78">
        <v>2</v>
      </c>
      <c r="G10" s="78"/>
      <c r="H10" s="64"/>
      <c r="I10" s="64"/>
      <c r="J10" s="64"/>
      <c r="N10" s="51"/>
    </row>
    <row r="11" spans="1:39" x14ac:dyDescent="0.75">
      <c r="A11" s="30" t="s">
        <v>62</v>
      </c>
      <c r="B11" s="52" t="s">
        <v>80</v>
      </c>
      <c r="C11" s="43" t="s">
        <v>45</v>
      </c>
      <c r="D11" s="44" t="s">
        <v>83</v>
      </c>
      <c r="E11" s="23">
        <v>2</v>
      </c>
      <c r="F11" s="78">
        <v>1</v>
      </c>
      <c r="G11" s="78"/>
      <c r="H11" s="64"/>
      <c r="I11" s="64"/>
      <c r="J11" s="64"/>
      <c r="AM11" s="45"/>
    </row>
    <row r="12" spans="1:39" x14ac:dyDescent="0.75">
      <c r="A12" s="30" t="s">
        <v>63</v>
      </c>
      <c r="B12" s="52" t="s">
        <v>79</v>
      </c>
      <c r="C12" s="43" t="s">
        <v>46</v>
      </c>
      <c r="D12" s="44" t="s">
        <v>85</v>
      </c>
      <c r="E12" s="23">
        <v>2</v>
      </c>
      <c r="F12" s="78">
        <v>1</v>
      </c>
      <c r="G12" s="78"/>
      <c r="H12" s="64"/>
      <c r="I12" s="64"/>
      <c r="J12" s="64"/>
      <c r="AM12" s="45"/>
    </row>
    <row r="13" spans="1:39" s="45" customFormat="1" x14ac:dyDescent="0.75">
      <c r="A13" s="30"/>
      <c r="B13" s="52"/>
      <c r="C13" s="43"/>
      <c r="D13" s="44"/>
      <c r="E13" s="23"/>
      <c r="F13" s="78"/>
      <c r="G13" s="78"/>
    </row>
    <row r="14" spans="1:39" s="45" customFormat="1" hidden="1" x14ac:dyDescent="0.75">
      <c r="A14" s="67" t="s">
        <v>94</v>
      </c>
      <c r="B14" s="59" t="s">
        <v>93</v>
      </c>
      <c r="C14" s="43"/>
      <c r="D14" s="44"/>
      <c r="E14" s="66" t="s">
        <v>95</v>
      </c>
      <c r="F14" s="66">
        <f>COUNTIF(F27:F41,1)</f>
        <v>0</v>
      </c>
      <c r="G14" s="69">
        <f t="shared" ref="G14:V14" si="0">COUNTIF(G27:G41,1)</f>
        <v>0</v>
      </c>
      <c r="H14" s="69">
        <f t="shared" si="0"/>
        <v>0</v>
      </c>
      <c r="I14" s="69">
        <f t="shared" si="0"/>
        <v>0</v>
      </c>
      <c r="J14" s="69">
        <f t="shared" si="0"/>
        <v>0</v>
      </c>
      <c r="K14" s="69">
        <f t="shared" si="0"/>
        <v>0</v>
      </c>
      <c r="L14" s="69">
        <f t="shared" si="0"/>
        <v>0</v>
      </c>
      <c r="M14" s="69">
        <f t="shared" si="0"/>
        <v>0</v>
      </c>
      <c r="N14" s="69">
        <f t="shared" si="0"/>
        <v>0</v>
      </c>
      <c r="O14" s="69">
        <f t="shared" si="0"/>
        <v>0</v>
      </c>
      <c r="P14" s="69">
        <f t="shared" si="0"/>
        <v>0</v>
      </c>
      <c r="Q14" s="69">
        <f t="shared" si="0"/>
        <v>0</v>
      </c>
      <c r="R14" s="69">
        <f t="shared" si="0"/>
        <v>0</v>
      </c>
      <c r="S14" s="69">
        <f t="shared" si="0"/>
        <v>0</v>
      </c>
      <c r="T14" s="69">
        <f t="shared" si="0"/>
        <v>0</v>
      </c>
      <c r="U14" s="69">
        <f t="shared" si="0"/>
        <v>0</v>
      </c>
      <c r="V14" s="69">
        <f t="shared" si="0"/>
        <v>0</v>
      </c>
      <c r="W14" s="66">
        <f t="shared" ref="W14:AI14" si="1">COUNTIF(W27:W41,1)</f>
        <v>0</v>
      </c>
      <c r="X14" s="66">
        <f t="shared" si="1"/>
        <v>0</v>
      </c>
      <c r="Y14" s="66">
        <f t="shared" si="1"/>
        <v>0</v>
      </c>
      <c r="Z14" s="66">
        <f t="shared" si="1"/>
        <v>0</v>
      </c>
      <c r="AA14" s="66">
        <f t="shared" si="1"/>
        <v>0</v>
      </c>
      <c r="AB14" s="66">
        <f t="shared" si="1"/>
        <v>0</v>
      </c>
      <c r="AC14" s="66">
        <f t="shared" si="1"/>
        <v>0</v>
      </c>
      <c r="AD14" s="66">
        <f t="shared" si="1"/>
        <v>0</v>
      </c>
      <c r="AE14" s="66">
        <f t="shared" si="1"/>
        <v>0</v>
      </c>
      <c r="AF14" s="66">
        <f t="shared" si="1"/>
        <v>0</v>
      </c>
      <c r="AG14" s="66">
        <f t="shared" si="1"/>
        <v>0</v>
      </c>
      <c r="AH14" s="66">
        <f t="shared" si="1"/>
        <v>0</v>
      </c>
      <c r="AI14" s="66">
        <f t="shared" si="1"/>
        <v>0</v>
      </c>
    </row>
    <row r="15" spans="1:39" hidden="1" x14ac:dyDescent="0.75">
      <c r="E15" s="44" t="s">
        <v>81</v>
      </c>
      <c r="F15" s="44">
        <f t="shared" ref="F15:AI15" si="2">COUNTIF(F$27:F$41,$D$8)</f>
        <v>0</v>
      </c>
      <c r="G15" s="48">
        <f t="shared" si="2"/>
        <v>2</v>
      </c>
      <c r="H15" s="48">
        <f t="shared" si="2"/>
        <v>4</v>
      </c>
      <c r="I15" s="48">
        <f t="shared" si="2"/>
        <v>3</v>
      </c>
      <c r="J15" s="48">
        <f t="shared" si="2"/>
        <v>2</v>
      </c>
      <c r="K15" s="48">
        <f t="shared" si="2"/>
        <v>3</v>
      </c>
      <c r="L15" s="48">
        <f t="shared" si="2"/>
        <v>1</v>
      </c>
      <c r="M15" s="48">
        <f t="shared" si="2"/>
        <v>0</v>
      </c>
      <c r="N15" s="48">
        <f t="shared" si="2"/>
        <v>2</v>
      </c>
      <c r="O15" s="48">
        <f t="shared" si="2"/>
        <v>2</v>
      </c>
      <c r="P15" s="48">
        <f t="shared" si="2"/>
        <v>3</v>
      </c>
      <c r="Q15" s="48">
        <f t="shared" si="2"/>
        <v>3</v>
      </c>
      <c r="R15" s="48">
        <f t="shared" si="2"/>
        <v>3</v>
      </c>
      <c r="S15" s="48">
        <f t="shared" si="2"/>
        <v>1</v>
      </c>
      <c r="T15" s="48">
        <f t="shared" si="2"/>
        <v>0</v>
      </c>
      <c r="U15" s="48">
        <f t="shared" si="2"/>
        <v>3</v>
      </c>
      <c r="V15" s="48">
        <f t="shared" si="2"/>
        <v>2</v>
      </c>
      <c r="W15" s="48">
        <f t="shared" si="2"/>
        <v>2</v>
      </c>
      <c r="X15" s="48">
        <f t="shared" si="2"/>
        <v>3</v>
      </c>
      <c r="Y15" s="48">
        <f t="shared" si="2"/>
        <v>2</v>
      </c>
      <c r="Z15" s="48">
        <f t="shared" si="2"/>
        <v>1</v>
      </c>
      <c r="AA15" s="48">
        <f t="shared" si="2"/>
        <v>0</v>
      </c>
      <c r="AB15" s="48">
        <f t="shared" si="2"/>
        <v>3</v>
      </c>
      <c r="AC15" s="48">
        <f t="shared" si="2"/>
        <v>2</v>
      </c>
      <c r="AD15" s="48">
        <f t="shared" si="2"/>
        <v>2</v>
      </c>
      <c r="AE15" s="48">
        <f t="shared" si="2"/>
        <v>2</v>
      </c>
      <c r="AF15" s="48">
        <f t="shared" si="2"/>
        <v>3</v>
      </c>
      <c r="AG15" s="48">
        <f t="shared" si="2"/>
        <v>1</v>
      </c>
      <c r="AH15" s="48">
        <f t="shared" si="2"/>
        <v>0</v>
      </c>
      <c r="AI15" s="48">
        <f t="shared" si="2"/>
        <v>2</v>
      </c>
    </row>
    <row r="16" spans="1:39" hidden="1" x14ac:dyDescent="0.75">
      <c r="E16" s="44" t="s">
        <v>84</v>
      </c>
      <c r="F16" s="48">
        <f t="shared" ref="F16:AI16" si="3">COUNTIF(F$27:F$41,$D$9)</f>
        <v>0</v>
      </c>
      <c r="G16" s="48">
        <f t="shared" si="3"/>
        <v>4</v>
      </c>
      <c r="H16" s="48">
        <f t="shared" si="3"/>
        <v>4</v>
      </c>
      <c r="I16" s="48">
        <f t="shared" si="3"/>
        <v>3</v>
      </c>
      <c r="J16" s="48">
        <f t="shared" si="3"/>
        <v>3</v>
      </c>
      <c r="K16" s="48">
        <f t="shared" si="3"/>
        <v>3</v>
      </c>
      <c r="L16" s="48">
        <f t="shared" si="3"/>
        <v>2</v>
      </c>
      <c r="M16" s="48">
        <f t="shared" si="3"/>
        <v>0</v>
      </c>
      <c r="N16" s="48">
        <f t="shared" si="3"/>
        <v>3</v>
      </c>
      <c r="O16" s="48">
        <f t="shared" si="3"/>
        <v>3</v>
      </c>
      <c r="P16" s="48">
        <f t="shared" si="3"/>
        <v>4</v>
      </c>
      <c r="Q16" s="48">
        <f t="shared" si="3"/>
        <v>4</v>
      </c>
      <c r="R16" s="48">
        <f t="shared" si="3"/>
        <v>3</v>
      </c>
      <c r="S16" s="48">
        <f t="shared" si="3"/>
        <v>2</v>
      </c>
      <c r="T16" s="48">
        <f t="shared" si="3"/>
        <v>0</v>
      </c>
      <c r="U16" s="48">
        <f t="shared" si="3"/>
        <v>3</v>
      </c>
      <c r="V16" s="48">
        <f t="shared" si="3"/>
        <v>3</v>
      </c>
      <c r="W16" s="48">
        <f t="shared" si="3"/>
        <v>3</v>
      </c>
      <c r="X16" s="48">
        <f t="shared" si="3"/>
        <v>3</v>
      </c>
      <c r="Y16" s="48">
        <f t="shared" si="3"/>
        <v>3</v>
      </c>
      <c r="Z16" s="48">
        <f t="shared" si="3"/>
        <v>2</v>
      </c>
      <c r="AA16" s="48">
        <f t="shared" si="3"/>
        <v>0</v>
      </c>
      <c r="AB16" s="48">
        <f t="shared" si="3"/>
        <v>3</v>
      </c>
      <c r="AC16" s="48">
        <f t="shared" si="3"/>
        <v>4</v>
      </c>
      <c r="AD16" s="48">
        <f t="shared" si="3"/>
        <v>5</v>
      </c>
      <c r="AE16" s="48">
        <f t="shared" si="3"/>
        <v>4</v>
      </c>
      <c r="AF16" s="48">
        <f t="shared" si="3"/>
        <v>3</v>
      </c>
      <c r="AG16" s="48">
        <f t="shared" si="3"/>
        <v>2</v>
      </c>
      <c r="AH16" s="48">
        <f t="shared" si="3"/>
        <v>0</v>
      </c>
      <c r="AI16" s="48">
        <f t="shared" si="3"/>
        <v>4</v>
      </c>
    </row>
    <row r="17" spans="1:36" s="45" customFormat="1" hidden="1" x14ac:dyDescent="0.75">
      <c r="E17" s="44" t="s">
        <v>82</v>
      </c>
      <c r="F17" s="48">
        <f t="shared" ref="F17:AI17" si="4">COUNTIF(F$27:F$41,$D$10)</f>
        <v>0</v>
      </c>
      <c r="G17" s="48">
        <f t="shared" si="4"/>
        <v>3</v>
      </c>
      <c r="H17" s="48">
        <f t="shared" si="4"/>
        <v>3</v>
      </c>
      <c r="I17" s="48">
        <f t="shared" si="4"/>
        <v>4</v>
      </c>
      <c r="J17" s="48">
        <f t="shared" si="4"/>
        <v>4</v>
      </c>
      <c r="K17" s="48">
        <f t="shared" si="4"/>
        <v>4</v>
      </c>
      <c r="L17" s="48">
        <f t="shared" si="4"/>
        <v>2</v>
      </c>
      <c r="M17" s="48">
        <f t="shared" si="4"/>
        <v>0</v>
      </c>
      <c r="N17" s="48">
        <f t="shared" si="4"/>
        <v>4</v>
      </c>
      <c r="O17" s="48">
        <f t="shared" si="4"/>
        <v>3</v>
      </c>
      <c r="P17" s="48">
        <f t="shared" si="4"/>
        <v>3</v>
      </c>
      <c r="Q17" s="48">
        <f t="shared" si="4"/>
        <v>3</v>
      </c>
      <c r="R17" s="48">
        <f t="shared" si="4"/>
        <v>4</v>
      </c>
      <c r="S17" s="48">
        <f t="shared" si="4"/>
        <v>2</v>
      </c>
      <c r="T17" s="48">
        <f t="shared" si="4"/>
        <v>0</v>
      </c>
      <c r="U17" s="48">
        <f t="shared" si="4"/>
        <v>3</v>
      </c>
      <c r="V17" s="48">
        <f t="shared" si="4"/>
        <v>4</v>
      </c>
      <c r="W17" s="48">
        <f t="shared" si="4"/>
        <v>4</v>
      </c>
      <c r="X17" s="48">
        <f t="shared" si="4"/>
        <v>4</v>
      </c>
      <c r="Y17" s="48">
        <f t="shared" si="4"/>
        <v>4</v>
      </c>
      <c r="Z17" s="48">
        <f t="shared" si="4"/>
        <v>2</v>
      </c>
      <c r="AA17" s="48">
        <f t="shared" si="4"/>
        <v>0</v>
      </c>
      <c r="AB17" s="48">
        <f t="shared" si="4"/>
        <v>3</v>
      </c>
      <c r="AC17" s="48">
        <f t="shared" si="4"/>
        <v>5</v>
      </c>
      <c r="AD17" s="48">
        <f t="shared" si="4"/>
        <v>4</v>
      </c>
      <c r="AE17" s="48">
        <f t="shared" si="4"/>
        <v>3</v>
      </c>
      <c r="AF17" s="48">
        <f t="shared" si="4"/>
        <v>5</v>
      </c>
      <c r="AG17" s="48">
        <f t="shared" si="4"/>
        <v>2</v>
      </c>
      <c r="AH17" s="48">
        <f t="shared" si="4"/>
        <v>0</v>
      </c>
      <c r="AI17" s="48">
        <f t="shared" si="4"/>
        <v>4</v>
      </c>
    </row>
    <row r="18" spans="1:36" s="45" customFormat="1" hidden="1" x14ac:dyDescent="0.75">
      <c r="E18" s="44" t="s">
        <v>83</v>
      </c>
      <c r="F18" s="48">
        <f t="shared" ref="F18:AI18" si="5">COUNTIF(F$27:F$41,$D$11)</f>
        <v>0</v>
      </c>
      <c r="G18" s="48">
        <f t="shared" si="5"/>
        <v>2</v>
      </c>
      <c r="H18" s="48">
        <f t="shared" si="5"/>
        <v>2</v>
      </c>
      <c r="I18" s="48">
        <f t="shared" si="5"/>
        <v>2</v>
      </c>
      <c r="J18" s="48">
        <f t="shared" si="5"/>
        <v>4</v>
      </c>
      <c r="K18" s="48">
        <f t="shared" si="5"/>
        <v>3</v>
      </c>
      <c r="L18" s="48">
        <f t="shared" si="5"/>
        <v>1</v>
      </c>
      <c r="M18" s="48">
        <f t="shared" si="5"/>
        <v>0</v>
      </c>
      <c r="N18" s="48">
        <f t="shared" si="5"/>
        <v>2</v>
      </c>
      <c r="O18" s="48">
        <f t="shared" si="5"/>
        <v>3</v>
      </c>
      <c r="P18" s="48">
        <f t="shared" si="5"/>
        <v>2</v>
      </c>
      <c r="Q18" s="48">
        <f t="shared" si="5"/>
        <v>3</v>
      </c>
      <c r="R18" s="48">
        <f t="shared" si="5"/>
        <v>3</v>
      </c>
      <c r="S18" s="48">
        <f t="shared" si="5"/>
        <v>1</v>
      </c>
      <c r="T18" s="48">
        <f t="shared" si="5"/>
        <v>0</v>
      </c>
      <c r="U18" s="48">
        <f t="shared" si="5"/>
        <v>3</v>
      </c>
      <c r="V18" s="48">
        <f t="shared" si="5"/>
        <v>2</v>
      </c>
      <c r="W18" s="48">
        <f t="shared" si="5"/>
        <v>2</v>
      </c>
      <c r="X18" s="48">
        <f t="shared" si="5"/>
        <v>2</v>
      </c>
      <c r="Y18" s="48">
        <f t="shared" si="5"/>
        <v>3</v>
      </c>
      <c r="Z18" s="48">
        <f t="shared" si="5"/>
        <v>1</v>
      </c>
      <c r="AA18" s="48">
        <f t="shared" si="5"/>
        <v>0</v>
      </c>
      <c r="AB18" s="48">
        <f t="shared" si="5"/>
        <v>2</v>
      </c>
      <c r="AC18" s="48">
        <f t="shared" si="5"/>
        <v>2</v>
      </c>
      <c r="AD18" s="48">
        <f t="shared" si="5"/>
        <v>2</v>
      </c>
      <c r="AE18" s="48">
        <f t="shared" si="5"/>
        <v>2</v>
      </c>
      <c r="AF18" s="48">
        <f t="shared" si="5"/>
        <v>2</v>
      </c>
      <c r="AG18" s="48">
        <f t="shared" si="5"/>
        <v>1</v>
      </c>
      <c r="AH18" s="48">
        <f t="shared" si="5"/>
        <v>0</v>
      </c>
      <c r="AI18" s="48">
        <f t="shared" si="5"/>
        <v>2</v>
      </c>
    </row>
    <row r="19" spans="1:36" s="45" customFormat="1" hidden="1" x14ac:dyDescent="0.75">
      <c r="E19" s="44" t="s">
        <v>85</v>
      </c>
      <c r="F19" s="48">
        <f t="shared" ref="F19:AI19" si="6">COUNTIF(F$27:F$41,$D$12)</f>
        <v>0</v>
      </c>
      <c r="G19" s="48">
        <f t="shared" si="6"/>
        <v>3</v>
      </c>
      <c r="H19" s="48">
        <f t="shared" si="6"/>
        <v>2</v>
      </c>
      <c r="I19" s="48">
        <f t="shared" si="6"/>
        <v>3</v>
      </c>
      <c r="J19" s="48">
        <f t="shared" si="6"/>
        <v>2</v>
      </c>
      <c r="K19" s="48">
        <f t="shared" si="6"/>
        <v>2</v>
      </c>
      <c r="L19" s="48">
        <f t="shared" si="6"/>
        <v>1</v>
      </c>
      <c r="M19" s="48">
        <f t="shared" si="6"/>
        <v>0</v>
      </c>
      <c r="N19" s="48">
        <f t="shared" si="6"/>
        <v>3</v>
      </c>
      <c r="O19" s="48">
        <f t="shared" si="6"/>
        <v>3</v>
      </c>
      <c r="P19" s="48">
        <f t="shared" si="6"/>
        <v>2</v>
      </c>
      <c r="Q19" s="48">
        <f t="shared" si="6"/>
        <v>2</v>
      </c>
      <c r="R19" s="48">
        <f t="shared" si="6"/>
        <v>2</v>
      </c>
      <c r="S19" s="48">
        <f t="shared" si="6"/>
        <v>1</v>
      </c>
      <c r="T19" s="48">
        <f t="shared" si="6"/>
        <v>0</v>
      </c>
      <c r="U19" s="48">
        <f t="shared" si="6"/>
        <v>2</v>
      </c>
      <c r="V19" s="48">
        <f t="shared" si="6"/>
        <v>3</v>
      </c>
      <c r="W19" s="48">
        <f t="shared" si="6"/>
        <v>2</v>
      </c>
      <c r="X19" s="48">
        <f t="shared" si="6"/>
        <v>2</v>
      </c>
      <c r="Y19" s="48">
        <f t="shared" si="6"/>
        <v>2</v>
      </c>
      <c r="Z19" s="48">
        <f t="shared" si="6"/>
        <v>1</v>
      </c>
      <c r="AA19" s="48">
        <f t="shared" si="6"/>
        <v>0</v>
      </c>
      <c r="AB19" s="48">
        <f t="shared" si="6"/>
        <v>2</v>
      </c>
      <c r="AC19" s="48">
        <f t="shared" si="6"/>
        <v>2</v>
      </c>
      <c r="AD19" s="48">
        <f t="shared" si="6"/>
        <v>2</v>
      </c>
      <c r="AE19" s="48">
        <f t="shared" si="6"/>
        <v>3</v>
      </c>
      <c r="AF19" s="48">
        <f t="shared" si="6"/>
        <v>2</v>
      </c>
      <c r="AG19" s="48">
        <f t="shared" si="6"/>
        <v>1</v>
      </c>
      <c r="AH19" s="48">
        <f t="shared" si="6"/>
        <v>0</v>
      </c>
      <c r="AI19" s="48">
        <f t="shared" si="6"/>
        <v>2</v>
      </c>
    </row>
    <row r="20" spans="1:36" s="45" customFormat="1" x14ac:dyDescent="0.75">
      <c r="B20" s="61"/>
      <c r="E20" s="55" t="s">
        <v>87</v>
      </c>
      <c r="F20" s="56">
        <f>IF(TEXT(F25,"ddd")="Sat",IF(AND(F15&gt;=$F$8,F16&gt;=$F$9,F17&gt;=$F$10,F18&gt;=$F$11,F19&gt;=$F$12),1,IF(F24="NA",1,0)),IF(AND(F15&gt;=$E$8,F16&gt;=$E$9,F17&gt;=$E$10,F18&gt;=$E$11,F19&gt;=$E$12),1,IF(F24="NA",1,0)))</f>
        <v>1</v>
      </c>
      <c r="G20" s="56">
        <f t="shared" ref="G20:AI20" si="7">IF(TEXT(G25,"ddd")="Sat",IF(AND(G15&gt;=$F$8,G16&gt;=$F$9,G17&gt;=$F$10,G18&gt;=$F$11,G19&gt;=$F$12),1,IF(G24="NA",1,0)),IF(AND(G15&gt;=$E$8,G16&gt;=$E$9,G17&gt;=$E$10,G18&gt;=$E$11,G19&gt;=$E$12),1,IF(G24="NA",1,0)))</f>
        <v>1</v>
      </c>
      <c r="H20" s="56">
        <f t="shared" si="7"/>
        <v>1</v>
      </c>
      <c r="I20" s="56">
        <f t="shared" si="7"/>
        <v>1</v>
      </c>
      <c r="J20" s="56">
        <f t="shared" si="7"/>
        <v>1</v>
      </c>
      <c r="K20" s="56">
        <f t="shared" si="7"/>
        <v>1</v>
      </c>
      <c r="L20" s="56">
        <f t="shared" si="7"/>
        <v>1</v>
      </c>
      <c r="M20" s="56">
        <f t="shared" si="7"/>
        <v>1</v>
      </c>
      <c r="N20" s="56">
        <f t="shared" si="7"/>
        <v>1</v>
      </c>
      <c r="O20" s="56">
        <f t="shared" si="7"/>
        <v>1</v>
      </c>
      <c r="P20" s="56">
        <f t="shared" si="7"/>
        <v>1</v>
      </c>
      <c r="Q20" s="56">
        <f t="shared" si="7"/>
        <v>1</v>
      </c>
      <c r="R20" s="56">
        <f t="shared" si="7"/>
        <v>1</v>
      </c>
      <c r="S20" s="56">
        <f t="shared" si="7"/>
        <v>1</v>
      </c>
      <c r="T20" s="56">
        <f t="shared" si="7"/>
        <v>1</v>
      </c>
      <c r="U20" s="56">
        <f t="shared" si="7"/>
        <v>1</v>
      </c>
      <c r="V20" s="56">
        <f t="shared" si="7"/>
        <v>1</v>
      </c>
      <c r="W20" s="56">
        <f t="shared" si="7"/>
        <v>1</v>
      </c>
      <c r="X20" s="56">
        <f t="shared" si="7"/>
        <v>1</v>
      </c>
      <c r="Y20" s="56">
        <f t="shared" si="7"/>
        <v>1</v>
      </c>
      <c r="Z20" s="56">
        <f t="shared" si="7"/>
        <v>1</v>
      </c>
      <c r="AA20" s="56">
        <f t="shared" si="7"/>
        <v>1</v>
      </c>
      <c r="AB20" s="56">
        <f t="shared" si="7"/>
        <v>1</v>
      </c>
      <c r="AC20" s="56">
        <f t="shared" si="7"/>
        <v>1</v>
      </c>
      <c r="AD20" s="56">
        <f t="shared" si="7"/>
        <v>1</v>
      </c>
      <c r="AE20" s="56">
        <f t="shared" si="7"/>
        <v>1</v>
      </c>
      <c r="AF20" s="56">
        <f t="shared" si="7"/>
        <v>1</v>
      </c>
      <c r="AG20" s="56">
        <f t="shared" si="7"/>
        <v>1</v>
      </c>
      <c r="AH20" s="56">
        <f t="shared" si="7"/>
        <v>1</v>
      </c>
      <c r="AI20" s="56">
        <f t="shared" si="7"/>
        <v>1</v>
      </c>
    </row>
    <row r="21" spans="1:36" s="45" customFormat="1" x14ac:dyDescent="0.75">
      <c r="A21" s="30"/>
      <c r="B21" s="62"/>
      <c r="C21" s="43"/>
      <c r="D21" s="44"/>
      <c r="E21" s="55" t="s">
        <v>88</v>
      </c>
      <c r="F21" s="55">
        <f>IF(F23=0,1,IF(F22&lt;F23,0,1))</f>
        <v>1</v>
      </c>
      <c r="G21" s="55">
        <f>IF(G23=0,1,IF(G22&lt;G23,0,1))</f>
        <v>1</v>
      </c>
      <c r="H21" s="55">
        <f t="shared" ref="H21:AI21" si="8">IF(H23=0,1,IF(H22&lt;H23,0,1))</f>
        <v>1</v>
      </c>
      <c r="I21" s="55">
        <f t="shared" si="8"/>
        <v>1</v>
      </c>
      <c r="J21" s="55">
        <f t="shared" si="8"/>
        <v>1</v>
      </c>
      <c r="K21" s="55">
        <f t="shared" si="8"/>
        <v>1</v>
      </c>
      <c r="L21" s="55">
        <f t="shared" si="8"/>
        <v>1</v>
      </c>
      <c r="M21" s="55">
        <f t="shared" si="8"/>
        <v>1</v>
      </c>
      <c r="N21" s="55">
        <f t="shared" si="8"/>
        <v>1</v>
      </c>
      <c r="O21" s="55">
        <f t="shared" si="8"/>
        <v>1</v>
      </c>
      <c r="P21" s="55">
        <f t="shared" si="8"/>
        <v>1</v>
      </c>
      <c r="Q21" s="55">
        <f t="shared" si="8"/>
        <v>1</v>
      </c>
      <c r="R21" s="55">
        <f t="shared" si="8"/>
        <v>1</v>
      </c>
      <c r="S21" s="55">
        <f t="shared" si="8"/>
        <v>1</v>
      </c>
      <c r="T21" s="55">
        <f t="shared" si="8"/>
        <v>1</v>
      </c>
      <c r="U21" s="55">
        <f t="shared" si="8"/>
        <v>1</v>
      </c>
      <c r="V21" s="55">
        <f t="shared" si="8"/>
        <v>1</v>
      </c>
      <c r="W21" s="55">
        <f t="shared" si="8"/>
        <v>1</v>
      </c>
      <c r="X21" s="55">
        <f t="shared" si="8"/>
        <v>1</v>
      </c>
      <c r="Y21" s="55">
        <f t="shared" si="8"/>
        <v>1</v>
      </c>
      <c r="Z21" s="55">
        <f t="shared" si="8"/>
        <v>1</v>
      </c>
      <c r="AA21" s="55">
        <f t="shared" si="8"/>
        <v>1</v>
      </c>
      <c r="AB21" s="55">
        <f t="shared" si="8"/>
        <v>1</v>
      </c>
      <c r="AC21" s="55">
        <f t="shared" si="8"/>
        <v>1</v>
      </c>
      <c r="AD21" s="55">
        <f t="shared" si="8"/>
        <v>1</v>
      </c>
      <c r="AE21" s="55">
        <f t="shared" si="8"/>
        <v>1</v>
      </c>
      <c r="AF21" s="55">
        <f t="shared" si="8"/>
        <v>1</v>
      </c>
      <c r="AG21" s="55">
        <f t="shared" si="8"/>
        <v>1</v>
      </c>
      <c r="AH21" s="55">
        <f t="shared" si="8"/>
        <v>1</v>
      </c>
      <c r="AI21" s="55">
        <f t="shared" si="8"/>
        <v>1</v>
      </c>
    </row>
    <row r="22" spans="1:36" s="45" customFormat="1" x14ac:dyDescent="0.75">
      <c r="A22" s="30"/>
      <c r="B22" s="62"/>
      <c r="D22" s="44"/>
      <c r="E22" s="55" t="s">
        <v>91</v>
      </c>
      <c r="F22" s="55">
        <f>IF(TEXT(F25,"ddd")="Sun",0,COUNTIF(F$27:F$41,"*"))</f>
        <v>0</v>
      </c>
      <c r="G22" s="55">
        <f>IF(TEXT(G25,"ddd")="Sun",0,COUNTIF(G$27:G$41,"*"))</f>
        <v>14</v>
      </c>
      <c r="H22" s="55">
        <f t="shared" ref="H22:AI22" si="9">IF(TEXT(H25,"ddd")="Sun",0,COUNTIF(H$27:H$41,"*"))</f>
        <v>15</v>
      </c>
      <c r="I22" s="55">
        <f t="shared" si="9"/>
        <v>15</v>
      </c>
      <c r="J22" s="55">
        <f t="shared" si="9"/>
        <v>15</v>
      </c>
      <c r="K22" s="55">
        <f t="shared" si="9"/>
        <v>15</v>
      </c>
      <c r="L22" s="55">
        <f t="shared" si="9"/>
        <v>14</v>
      </c>
      <c r="M22" s="55">
        <f t="shared" si="9"/>
        <v>0</v>
      </c>
      <c r="N22" s="55">
        <f t="shared" si="9"/>
        <v>14</v>
      </c>
      <c r="O22" s="55">
        <f t="shared" si="9"/>
        <v>14</v>
      </c>
      <c r="P22" s="55">
        <f t="shared" si="9"/>
        <v>14</v>
      </c>
      <c r="Q22" s="55">
        <f t="shared" si="9"/>
        <v>15</v>
      </c>
      <c r="R22" s="55">
        <f t="shared" si="9"/>
        <v>15</v>
      </c>
      <c r="S22" s="55">
        <f t="shared" si="9"/>
        <v>14</v>
      </c>
      <c r="T22" s="55">
        <f t="shared" si="9"/>
        <v>0</v>
      </c>
      <c r="U22" s="55">
        <f t="shared" si="9"/>
        <v>14</v>
      </c>
      <c r="V22" s="55">
        <f t="shared" si="9"/>
        <v>14</v>
      </c>
      <c r="W22" s="55">
        <f t="shared" si="9"/>
        <v>13</v>
      </c>
      <c r="X22" s="55">
        <f t="shared" si="9"/>
        <v>14</v>
      </c>
      <c r="Y22" s="55">
        <f t="shared" si="9"/>
        <v>14</v>
      </c>
      <c r="Z22" s="55">
        <f t="shared" si="9"/>
        <v>14</v>
      </c>
      <c r="AA22" s="55">
        <f t="shared" si="9"/>
        <v>0</v>
      </c>
      <c r="AB22" s="55">
        <f t="shared" si="9"/>
        <v>13</v>
      </c>
      <c r="AC22" s="55">
        <f t="shared" si="9"/>
        <v>15</v>
      </c>
      <c r="AD22" s="55">
        <f t="shared" si="9"/>
        <v>15</v>
      </c>
      <c r="AE22" s="55">
        <f t="shared" si="9"/>
        <v>14</v>
      </c>
      <c r="AF22" s="55">
        <f t="shared" si="9"/>
        <v>15</v>
      </c>
      <c r="AG22" s="55">
        <f t="shared" si="9"/>
        <v>14</v>
      </c>
      <c r="AH22" s="55">
        <f t="shared" si="9"/>
        <v>0</v>
      </c>
      <c r="AI22" s="55">
        <f t="shared" si="9"/>
        <v>14</v>
      </c>
      <c r="AJ22" s="55"/>
    </row>
    <row r="23" spans="1:36" s="45" customFormat="1" x14ac:dyDescent="0.75">
      <c r="A23" s="30"/>
      <c r="B23" s="63"/>
      <c r="C23" s="43"/>
      <c r="D23" s="43"/>
      <c r="E23" s="56" t="s">
        <v>89</v>
      </c>
      <c r="F23" s="56">
        <f>IF(TEXT(F25,"ddd")="Sat",IF(F24="NA",0,SUM($F$8:$F$12)),IF(F24="NA",0,SUM($E$8:$E$12)))</f>
        <v>0</v>
      </c>
      <c r="G23" s="56">
        <f t="shared" ref="G23:N23" si="10">IF(TEXT(G25,"ddd")="Sat",IF(G24="NA",0,SUM($F$8:$F$12)),IF(G24="NA",0,SUM($E$8:$E$12)))</f>
        <v>12</v>
      </c>
      <c r="H23" s="56">
        <f t="shared" si="10"/>
        <v>12</v>
      </c>
      <c r="I23" s="56">
        <f t="shared" si="10"/>
        <v>12</v>
      </c>
      <c r="J23" s="56">
        <f t="shared" si="10"/>
        <v>12</v>
      </c>
      <c r="K23" s="56">
        <f t="shared" si="10"/>
        <v>12</v>
      </c>
      <c r="L23" s="56">
        <f t="shared" si="10"/>
        <v>7</v>
      </c>
      <c r="M23" s="56">
        <f t="shared" si="10"/>
        <v>0</v>
      </c>
      <c r="N23" s="56">
        <f t="shared" si="10"/>
        <v>12</v>
      </c>
      <c r="O23" s="56">
        <f t="shared" ref="O23" si="11">IF(TEXT(O25,"ddd")="Sat",IF(O24="NA",0,SUM($F$8:$F$12)),IF(O24="NA",0,SUM($E$8:$E$12)))</f>
        <v>12</v>
      </c>
      <c r="P23" s="56">
        <f t="shared" ref="P23" si="12">IF(TEXT(P25,"ddd")="Sat",IF(P24="NA",0,SUM($F$8:$F$12)),IF(P24="NA",0,SUM($E$8:$E$12)))</f>
        <v>12</v>
      </c>
      <c r="Q23" s="56">
        <f t="shared" ref="Q23" si="13">IF(TEXT(Q25,"ddd")="Sat",IF(Q24="NA",0,SUM($F$8:$F$12)),IF(Q24="NA",0,SUM($E$8:$E$12)))</f>
        <v>12</v>
      </c>
      <c r="R23" s="56">
        <f t="shared" ref="R23" si="14">IF(TEXT(R25,"ddd")="Sat",IF(R24="NA",0,SUM($F$8:$F$12)),IF(R24="NA",0,SUM($E$8:$E$12)))</f>
        <v>12</v>
      </c>
      <c r="S23" s="56">
        <f t="shared" ref="S23" si="15">IF(TEXT(S25,"ddd")="Sat",IF(S24="NA",0,SUM($F$8:$F$12)),IF(S24="NA",0,SUM($E$8:$E$12)))</f>
        <v>7</v>
      </c>
      <c r="T23" s="56">
        <f t="shared" ref="T23" si="16">IF(TEXT(T25,"ddd")="Sat",IF(T24="NA",0,SUM($F$8:$F$12)),IF(T24="NA",0,SUM($E$8:$E$12)))</f>
        <v>0</v>
      </c>
      <c r="U23" s="56">
        <f t="shared" ref="U23:V23" si="17">IF(TEXT(U25,"ddd")="Sat",IF(U24="NA",0,SUM($F$8:$F$12)),IF(U24="NA",0,SUM($E$8:$E$12)))</f>
        <v>12</v>
      </c>
      <c r="V23" s="56">
        <f t="shared" si="17"/>
        <v>12</v>
      </c>
      <c r="W23" s="56">
        <f t="shared" ref="W23" si="18">IF(TEXT(W25,"ddd")="Sat",IF(W24="NA",0,SUM($F$8:$F$12)),IF(W24="NA",0,SUM($E$8:$E$12)))</f>
        <v>12</v>
      </c>
      <c r="X23" s="56">
        <f t="shared" ref="X23" si="19">IF(TEXT(X25,"ddd")="Sat",IF(X24="NA",0,SUM($F$8:$F$12)),IF(X24="NA",0,SUM($E$8:$E$12)))</f>
        <v>12</v>
      </c>
      <c r="Y23" s="56">
        <f t="shared" ref="Y23" si="20">IF(TEXT(Y25,"ddd")="Sat",IF(Y24="NA",0,SUM($F$8:$F$12)),IF(Y24="NA",0,SUM($E$8:$E$12)))</f>
        <v>12</v>
      </c>
      <c r="Z23" s="56">
        <f t="shared" ref="Z23" si="21">IF(TEXT(Z25,"ddd")="Sat",IF(Z24="NA",0,SUM($F$8:$F$12)),IF(Z24="NA",0,SUM($E$8:$E$12)))</f>
        <v>7</v>
      </c>
      <c r="AA23" s="56">
        <f t="shared" ref="AA23" si="22">IF(TEXT(AA25,"ddd")="Sat",IF(AA24="NA",0,SUM($F$8:$F$12)),IF(AA24="NA",0,SUM($E$8:$E$12)))</f>
        <v>0</v>
      </c>
      <c r="AB23" s="56">
        <f t="shared" ref="AB23" si="23">IF(TEXT(AB25,"ddd")="Sat",IF(AB24="NA",0,SUM($F$8:$F$12)),IF(AB24="NA",0,SUM($E$8:$E$12)))</f>
        <v>12</v>
      </c>
      <c r="AC23" s="56">
        <f t="shared" ref="AC23:AD23" si="24">IF(TEXT(AC25,"ddd")="Sat",IF(AC24="NA",0,SUM($F$8:$F$12)),IF(AC24="NA",0,SUM($E$8:$E$12)))</f>
        <v>12</v>
      </c>
      <c r="AD23" s="56">
        <f t="shared" si="24"/>
        <v>12</v>
      </c>
      <c r="AE23" s="56">
        <f t="shared" ref="AE23" si="25">IF(TEXT(AE25,"ddd")="Sat",IF(AE24="NA",0,SUM($F$8:$F$12)),IF(AE24="NA",0,SUM($E$8:$E$12)))</f>
        <v>12</v>
      </c>
      <c r="AF23" s="56">
        <f t="shared" ref="AF23" si="26">IF(TEXT(AF25,"ddd")="Sat",IF(AF24="NA",0,SUM($F$8:$F$12)),IF(AF24="NA",0,SUM($E$8:$E$12)))</f>
        <v>12</v>
      </c>
      <c r="AG23" s="56">
        <f t="shared" ref="AG23" si="27">IF(TEXT(AG25,"ddd")="Sat",IF(AG24="NA",0,SUM($F$8:$F$12)),IF(AG24="NA",0,SUM($E$8:$E$12)))</f>
        <v>7</v>
      </c>
      <c r="AH23" s="56">
        <f t="shared" ref="AH23" si="28">IF(TEXT(AH25,"ddd")="Sat",IF(AH24="NA",0,SUM($F$8:$F$12)),IF(AH24="NA",0,SUM($E$8:$E$12)))</f>
        <v>0</v>
      </c>
      <c r="AI23" s="56">
        <f t="shared" ref="AI23" si="29">IF(TEXT(AI25,"ddd")="Sat",IF(AI24="NA",0,SUM($F$8:$F$12)),IF(AI24="NA",0,SUM($E$8:$E$12)))</f>
        <v>12</v>
      </c>
    </row>
    <row r="24" spans="1:36" s="13" customFormat="1" x14ac:dyDescent="0.75">
      <c r="E24" s="55" t="s">
        <v>86</v>
      </c>
      <c r="F24" s="56" t="str">
        <f>IF(StaffAvailability!F10="","NA",StaffAvailability!F10)</f>
        <v>NA</v>
      </c>
      <c r="G24" s="56">
        <f>IF(StaffAvailability!G10="","NA",StaffAvailability!G10)</f>
        <v>14</v>
      </c>
      <c r="H24" s="56">
        <f>IF(StaffAvailability!H10="","NA",StaffAvailability!H10)</f>
        <v>15</v>
      </c>
      <c r="I24" s="56">
        <f>IF(StaffAvailability!I10="","NA",StaffAvailability!I10)</f>
        <v>15</v>
      </c>
      <c r="J24" s="56">
        <f>IF(StaffAvailability!J10="","NA",StaffAvailability!J10)</f>
        <v>15</v>
      </c>
      <c r="K24" s="56">
        <f>IF(StaffAvailability!K10="","NA",StaffAvailability!K10)</f>
        <v>15</v>
      </c>
      <c r="L24" s="56">
        <f>IF(StaffAvailability!L10="","NA",StaffAvailability!L10)</f>
        <v>14</v>
      </c>
      <c r="M24" s="56" t="str">
        <f>IF(StaffAvailability!M10="","NA",StaffAvailability!M10)</f>
        <v>NA</v>
      </c>
      <c r="N24" s="56">
        <f>IF(StaffAvailability!N10="","NA",StaffAvailability!N10)</f>
        <v>14</v>
      </c>
      <c r="O24" s="56">
        <f>IF(StaffAvailability!O10="","NA",StaffAvailability!O10)</f>
        <v>14</v>
      </c>
      <c r="P24" s="56">
        <f>IF(StaffAvailability!P10="","NA",StaffAvailability!P10)</f>
        <v>14</v>
      </c>
      <c r="Q24" s="56">
        <f>IF(StaffAvailability!Q10="","NA",StaffAvailability!Q10)</f>
        <v>15</v>
      </c>
      <c r="R24" s="56">
        <f>IF(StaffAvailability!R10="","NA",StaffAvailability!R10)</f>
        <v>15</v>
      </c>
      <c r="S24" s="56">
        <f>IF(StaffAvailability!S10="","NA",StaffAvailability!S10)</f>
        <v>14</v>
      </c>
      <c r="T24" s="56" t="str">
        <f>IF(StaffAvailability!T10="","NA",StaffAvailability!T10)</f>
        <v>NA</v>
      </c>
      <c r="U24" s="56">
        <f>IF(StaffAvailability!U10="","NA",StaffAvailability!U10)</f>
        <v>14</v>
      </c>
      <c r="V24" s="56">
        <f>IF(StaffAvailability!V10="","NA",StaffAvailability!V10)</f>
        <v>14</v>
      </c>
      <c r="W24" s="56">
        <f>IF(StaffAvailability!W10="","NA",StaffAvailability!W10)</f>
        <v>13</v>
      </c>
      <c r="X24" s="56">
        <f>IF(StaffAvailability!X10="","NA",StaffAvailability!X10)</f>
        <v>14</v>
      </c>
      <c r="Y24" s="56">
        <f>IF(StaffAvailability!Y10="","NA",StaffAvailability!Y10)</f>
        <v>14</v>
      </c>
      <c r="Z24" s="56">
        <f>IF(StaffAvailability!Z10="","NA",StaffAvailability!Z10)</f>
        <v>14</v>
      </c>
      <c r="AA24" s="56" t="str">
        <f>IF(StaffAvailability!AA10="","NA",StaffAvailability!AA10)</f>
        <v>NA</v>
      </c>
      <c r="AB24" s="56">
        <f>IF(StaffAvailability!AB10="","NA",StaffAvailability!AB10)</f>
        <v>13</v>
      </c>
      <c r="AC24" s="56">
        <f>IF(StaffAvailability!AC10="","NA",StaffAvailability!AC10)</f>
        <v>15</v>
      </c>
      <c r="AD24" s="56">
        <f>IF(StaffAvailability!AD10="","NA",StaffAvailability!AD10)</f>
        <v>15</v>
      </c>
      <c r="AE24" s="56">
        <f>IF(StaffAvailability!AE10="","NA",StaffAvailability!AE10)</f>
        <v>14</v>
      </c>
      <c r="AF24" s="56">
        <f>IF(StaffAvailability!AF10="","NA",StaffAvailability!AF10)</f>
        <v>15</v>
      </c>
      <c r="AG24" s="56">
        <f>IF(StaffAvailability!AG10="","NA",StaffAvailability!AG10)</f>
        <v>14</v>
      </c>
      <c r="AH24" s="56" t="str">
        <f>IF(StaffAvailability!AH10="","NA",StaffAvailability!AH10)</f>
        <v>NA</v>
      </c>
      <c r="AI24" s="56">
        <f>IF(StaffAvailability!AI10="","NA",StaffAvailability!AI10)</f>
        <v>14</v>
      </c>
    </row>
    <row r="25" spans="1:36" x14ac:dyDescent="0.75">
      <c r="F25" s="49">
        <f t="shared" ref="F25:AI25" si="30">DAY(F26)</f>
        <v>1</v>
      </c>
      <c r="G25" s="70">
        <f>DAY(G26)</f>
        <v>2</v>
      </c>
      <c r="H25" s="49">
        <f t="shared" si="30"/>
        <v>3</v>
      </c>
      <c r="I25" s="49">
        <f t="shared" si="30"/>
        <v>4</v>
      </c>
      <c r="J25" s="49">
        <f t="shared" si="30"/>
        <v>5</v>
      </c>
      <c r="K25" s="49">
        <f t="shared" si="30"/>
        <v>6</v>
      </c>
      <c r="L25" s="49">
        <f t="shared" si="30"/>
        <v>7</v>
      </c>
      <c r="M25" s="49">
        <f t="shared" si="30"/>
        <v>8</v>
      </c>
      <c r="N25" s="49">
        <f t="shared" si="30"/>
        <v>9</v>
      </c>
      <c r="O25" s="49">
        <f t="shared" si="30"/>
        <v>10</v>
      </c>
      <c r="P25" s="49">
        <f t="shared" si="30"/>
        <v>11</v>
      </c>
      <c r="Q25" s="49">
        <f t="shared" si="30"/>
        <v>12</v>
      </c>
      <c r="R25" s="49">
        <f t="shared" si="30"/>
        <v>13</v>
      </c>
      <c r="S25" s="49">
        <f t="shared" si="30"/>
        <v>14</v>
      </c>
      <c r="T25" s="49">
        <f t="shared" si="30"/>
        <v>15</v>
      </c>
      <c r="U25" s="49">
        <f t="shared" si="30"/>
        <v>16</v>
      </c>
      <c r="V25" s="49">
        <f t="shared" si="30"/>
        <v>17</v>
      </c>
      <c r="W25" s="49">
        <f t="shared" si="30"/>
        <v>18</v>
      </c>
      <c r="X25" s="49">
        <f t="shared" si="30"/>
        <v>19</v>
      </c>
      <c r="Y25" s="49">
        <f t="shared" si="30"/>
        <v>20</v>
      </c>
      <c r="Z25" s="49">
        <f t="shared" si="30"/>
        <v>21</v>
      </c>
      <c r="AA25" s="49">
        <f t="shared" si="30"/>
        <v>22</v>
      </c>
      <c r="AB25" s="49">
        <f t="shared" si="30"/>
        <v>23</v>
      </c>
      <c r="AC25" s="49">
        <f t="shared" si="30"/>
        <v>24</v>
      </c>
      <c r="AD25" s="49">
        <f t="shared" si="30"/>
        <v>25</v>
      </c>
      <c r="AE25" s="49">
        <f t="shared" si="30"/>
        <v>26</v>
      </c>
      <c r="AF25" s="49">
        <f t="shared" si="30"/>
        <v>27</v>
      </c>
      <c r="AG25" s="49">
        <f t="shared" si="30"/>
        <v>28</v>
      </c>
      <c r="AH25" s="49">
        <f t="shared" si="30"/>
        <v>29</v>
      </c>
      <c r="AI25" s="49">
        <f t="shared" si="30"/>
        <v>30</v>
      </c>
    </row>
    <row r="26" spans="1:36" x14ac:dyDescent="0.75">
      <c r="B26" s="57" t="s">
        <v>10</v>
      </c>
      <c r="C26" s="79" t="s">
        <v>11</v>
      </c>
      <c r="D26" s="79"/>
      <c r="E26" s="79"/>
      <c r="F26" s="58">
        <v>44652</v>
      </c>
      <c r="G26" s="58">
        <v>44653</v>
      </c>
      <c r="H26" s="58">
        <v>44654</v>
      </c>
      <c r="I26" s="58">
        <v>44655</v>
      </c>
      <c r="J26" s="58">
        <v>44656</v>
      </c>
      <c r="K26" s="58">
        <v>44657</v>
      </c>
      <c r="L26" s="58">
        <v>44658</v>
      </c>
      <c r="M26" s="58">
        <v>44659</v>
      </c>
      <c r="N26" s="58">
        <v>44660</v>
      </c>
      <c r="O26" s="58">
        <v>44661</v>
      </c>
      <c r="P26" s="58">
        <v>44662</v>
      </c>
      <c r="Q26" s="58">
        <v>44663</v>
      </c>
      <c r="R26" s="58">
        <v>44664</v>
      </c>
      <c r="S26" s="58">
        <v>44665</v>
      </c>
      <c r="T26" s="58">
        <v>44666</v>
      </c>
      <c r="U26" s="58">
        <v>44667</v>
      </c>
      <c r="V26" s="58">
        <v>44668</v>
      </c>
      <c r="W26" s="58">
        <v>44669</v>
      </c>
      <c r="X26" s="58">
        <v>44670</v>
      </c>
      <c r="Y26" s="58">
        <v>44671</v>
      </c>
      <c r="Z26" s="58">
        <v>44672</v>
      </c>
      <c r="AA26" s="58">
        <v>44673</v>
      </c>
      <c r="AB26" s="58">
        <v>44674</v>
      </c>
      <c r="AC26" s="58">
        <v>44675</v>
      </c>
      <c r="AD26" s="58">
        <v>44676</v>
      </c>
      <c r="AE26" s="58">
        <v>44677</v>
      </c>
      <c r="AF26" s="58">
        <v>44678</v>
      </c>
      <c r="AG26" s="58">
        <v>44679</v>
      </c>
      <c r="AH26" s="58">
        <v>44680</v>
      </c>
      <c r="AI26" s="58">
        <v>44681</v>
      </c>
    </row>
    <row r="27" spans="1:36" x14ac:dyDescent="0.75">
      <c r="B27" s="3" t="s">
        <v>12</v>
      </c>
      <c r="C27" s="74" t="s">
        <v>13</v>
      </c>
      <c r="D27" s="74"/>
      <c r="E27" s="74"/>
      <c r="F27" s="3">
        <f>IF(LOOKUP($B27,StaffAvailability!$C$14:$C$28,StaffAvailability!F$14:F$28) = 1,1,0)</f>
        <v>0</v>
      </c>
      <c r="G27" s="3" t="s">
        <v>84</v>
      </c>
      <c r="H27" s="3" t="s">
        <v>82</v>
      </c>
      <c r="I27" s="3" t="s">
        <v>81</v>
      </c>
      <c r="J27" s="3" t="s">
        <v>82</v>
      </c>
      <c r="K27" s="3" t="s">
        <v>84</v>
      </c>
      <c r="L27" s="3" t="s">
        <v>96</v>
      </c>
      <c r="M27" s="3">
        <f>IF(LOOKUP($B27,StaffAvailability!$C$14:$C$28,StaffAvailability!M$14:M$28) = 1,1,0)</f>
        <v>0</v>
      </c>
      <c r="N27" s="3" t="s">
        <v>82</v>
      </c>
      <c r="O27" s="3" t="s">
        <v>83</v>
      </c>
      <c r="P27" s="3" t="s">
        <v>84</v>
      </c>
      <c r="Q27" s="3" t="s">
        <v>85</v>
      </c>
      <c r="R27" s="3" t="s">
        <v>84</v>
      </c>
      <c r="S27" s="3" t="s">
        <v>96</v>
      </c>
      <c r="T27" s="3">
        <f>IF(LOOKUP($B27,StaffAvailability!$C$14:$C$28,StaffAvailability!T$14:T$28) = 1,1,0)</f>
        <v>0</v>
      </c>
      <c r="U27" s="3">
        <f>IF(LOOKUP($B27,StaffAvailability!$C$14:$C$28,StaffAvailability!U$14:U$28) = 1,1,0)</f>
        <v>0</v>
      </c>
      <c r="V27" s="3">
        <f>IF(LOOKUP($B27,StaffAvailability!$C$14:$C$28,StaffAvailability!V$14:V$28) = 1,1,0)</f>
        <v>0</v>
      </c>
      <c r="W27" s="3">
        <f>IF(LOOKUP($B27,StaffAvailability!$C$14:$C$28,StaffAvailability!W$14:W$28) = 1,1,0)</f>
        <v>0</v>
      </c>
      <c r="X27" s="3">
        <f>IF(LOOKUP($B27,StaffAvailability!$C$14:$C$28,StaffAvailability!X$14:X$28) = 1,1,0)</f>
        <v>0</v>
      </c>
      <c r="Y27" s="3">
        <f>IF(LOOKUP($B27,StaffAvailability!$C$14:$C$28,StaffAvailability!Y$14:Y$28) = 1,1,0)</f>
        <v>0</v>
      </c>
      <c r="Z27" s="3">
        <f>IF(LOOKUP($B27,StaffAvailability!$C$14:$C$28,StaffAvailability!Z$14:Z$28) = 1,1,0)</f>
        <v>0</v>
      </c>
      <c r="AA27" s="3">
        <f>IF(LOOKUP($B27,StaffAvailability!$C$14:$C$28,StaffAvailability!AA$14:AA$28) = 1,1,0)</f>
        <v>0</v>
      </c>
      <c r="AB27" s="3" t="s">
        <v>84</v>
      </c>
      <c r="AC27" s="3" t="s">
        <v>82</v>
      </c>
      <c r="AD27" s="3" t="s">
        <v>84</v>
      </c>
      <c r="AE27" s="3" t="s">
        <v>85</v>
      </c>
      <c r="AF27" s="3" t="s">
        <v>85</v>
      </c>
      <c r="AG27" s="3" t="s">
        <v>84</v>
      </c>
      <c r="AH27" s="3">
        <f>IF(LOOKUP($B27,StaffAvailability!$C$14:$C$28,StaffAvailability!AH$14:AH$28) = 1,1,0)</f>
        <v>0</v>
      </c>
      <c r="AI27" s="3" t="s">
        <v>84</v>
      </c>
    </row>
    <row r="28" spans="1:36" x14ac:dyDescent="0.75">
      <c r="A28" s="60"/>
      <c r="B28" s="3" t="s">
        <v>14</v>
      </c>
      <c r="C28" s="74" t="s">
        <v>15</v>
      </c>
      <c r="D28" s="74"/>
      <c r="E28" s="74"/>
      <c r="F28" s="3">
        <f>IF(LOOKUP($B28,StaffAvailability!$C$14:$C$28,StaffAvailability!F$14:F$28) = 1,1,0)</f>
        <v>0</v>
      </c>
      <c r="G28" s="3" t="s">
        <v>84</v>
      </c>
      <c r="H28" s="3" t="s">
        <v>82</v>
      </c>
      <c r="I28" s="3" t="s">
        <v>82</v>
      </c>
      <c r="J28" s="3" t="s">
        <v>85</v>
      </c>
      <c r="K28" s="3" t="s">
        <v>84</v>
      </c>
      <c r="L28" s="3">
        <f>IF(LOOKUP($B28,StaffAvailability!$C$14:$C$28,StaffAvailability!L$14:L$28) = 1,1,0)</f>
        <v>0</v>
      </c>
      <c r="M28" s="3">
        <f>IF(LOOKUP($B28,StaffAvailability!$C$14:$C$28,StaffAvailability!M$14:M$28) = 1,1,0)</f>
        <v>0</v>
      </c>
      <c r="N28" s="3" t="s">
        <v>81</v>
      </c>
      <c r="O28" s="3" t="s">
        <v>81</v>
      </c>
      <c r="P28" s="3" t="s">
        <v>81</v>
      </c>
      <c r="Q28" s="3" t="s">
        <v>81</v>
      </c>
      <c r="R28" s="3" t="s">
        <v>81</v>
      </c>
      <c r="S28" s="3" t="s">
        <v>85</v>
      </c>
      <c r="T28" s="3">
        <f>IF(LOOKUP($B28,StaffAvailability!$C$14:$C$28,StaffAvailability!T$14:T$28) = 1,1,0)</f>
        <v>0</v>
      </c>
      <c r="U28" s="3" t="s">
        <v>84</v>
      </c>
      <c r="V28" s="3" t="s">
        <v>85</v>
      </c>
      <c r="W28" s="3" t="s">
        <v>85</v>
      </c>
      <c r="X28" s="3" t="s">
        <v>83</v>
      </c>
      <c r="Y28" s="3" t="s">
        <v>82</v>
      </c>
      <c r="Z28" s="3" t="s">
        <v>85</v>
      </c>
      <c r="AA28" s="3">
        <f>IF(LOOKUP($B28,StaffAvailability!$C$14:$C$28,StaffAvailability!AA$14:AA$28) = 1,1,0)</f>
        <v>0</v>
      </c>
      <c r="AB28" s="3" t="s">
        <v>85</v>
      </c>
      <c r="AC28" s="3" t="s">
        <v>82</v>
      </c>
      <c r="AD28" s="3" t="s">
        <v>85</v>
      </c>
      <c r="AE28" s="3" t="s">
        <v>84</v>
      </c>
      <c r="AF28" s="3" t="s">
        <v>82</v>
      </c>
      <c r="AG28" s="3" t="s">
        <v>96</v>
      </c>
      <c r="AH28" s="3">
        <f>IF(LOOKUP($B28,StaffAvailability!$C$14:$C$28,StaffAvailability!AH$14:AH$28) = 1,1,0)</f>
        <v>0</v>
      </c>
      <c r="AI28" s="3" t="s">
        <v>85</v>
      </c>
    </row>
    <row r="29" spans="1:36" x14ac:dyDescent="0.75">
      <c r="A29" s="60"/>
      <c r="B29" s="3" t="s">
        <v>16</v>
      </c>
      <c r="C29" s="74" t="s">
        <v>17</v>
      </c>
      <c r="D29" s="74"/>
      <c r="E29" s="74"/>
      <c r="F29" s="3">
        <f>IF(LOOKUP($B29,StaffAvailability!$C$14:$C$28,StaffAvailability!F$14:F$28) = 1,1,0)</f>
        <v>0</v>
      </c>
      <c r="G29" s="3" t="s">
        <v>85</v>
      </c>
      <c r="H29" s="3" t="s">
        <v>84</v>
      </c>
      <c r="I29" s="3" t="s">
        <v>82</v>
      </c>
      <c r="J29" s="3" t="s">
        <v>83</v>
      </c>
      <c r="K29" s="3" t="s">
        <v>82</v>
      </c>
      <c r="L29" s="3" t="s">
        <v>83</v>
      </c>
      <c r="M29" s="3">
        <f>IF(LOOKUP($B29,StaffAvailability!$C$14:$C$28,StaffAvailability!M$14:M$28) = 1,1,0)</f>
        <v>0</v>
      </c>
      <c r="N29" s="3" t="s">
        <v>82</v>
      </c>
      <c r="O29" s="3" t="s">
        <v>84</v>
      </c>
      <c r="P29" s="3" t="s">
        <v>82</v>
      </c>
      <c r="Q29" s="3" t="s">
        <v>82</v>
      </c>
      <c r="R29" s="3" t="s">
        <v>84</v>
      </c>
      <c r="S29" s="3" t="s">
        <v>96</v>
      </c>
      <c r="T29" s="3">
        <f>IF(LOOKUP($B29,StaffAvailability!$C$14:$C$28,StaffAvailability!T$14:T$28) = 1,1,0)</f>
        <v>0</v>
      </c>
      <c r="U29" s="3" t="s">
        <v>84</v>
      </c>
      <c r="V29" s="3" t="s">
        <v>84</v>
      </c>
      <c r="W29" s="3" t="s">
        <v>81</v>
      </c>
      <c r="X29" s="3" t="s">
        <v>84</v>
      </c>
      <c r="Y29" s="3" t="s">
        <v>82</v>
      </c>
      <c r="Z29" s="3" t="s">
        <v>84</v>
      </c>
      <c r="AA29" s="3">
        <f>IF(LOOKUP($B29,StaffAvailability!$C$14:$C$28,StaffAvailability!AA$14:AA$28) = 1,1,0)</f>
        <v>0</v>
      </c>
      <c r="AB29" s="3" t="s">
        <v>84</v>
      </c>
      <c r="AC29" s="3" t="s">
        <v>84</v>
      </c>
      <c r="AD29" s="3" t="s">
        <v>82</v>
      </c>
      <c r="AE29" s="3" t="s">
        <v>85</v>
      </c>
      <c r="AF29" s="3" t="s">
        <v>85</v>
      </c>
      <c r="AG29" s="3" t="s">
        <v>96</v>
      </c>
      <c r="AH29" s="3">
        <f>IF(LOOKUP($B29,StaffAvailability!$C$14:$C$28,StaffAvailability!AH$14:AH$28) = 1,1,0)</f>
        <v>0</v>
      </c>
      <c r="AI29" s="3">
        <f>IF(LOOKUP($B29,StaffAvailability!$C$14:$C$28,StaffAvailability!AI$14:AI$28) = 1,1,0)</f>
        <v>0</v>
      </c>
    </row>
    <row r="30" spans="1:36" x14ac:dyDescent="0.75">
      <c r="A30" s="60"/>
      <c r="B30" s="3" t="s">
        <v>18</v>
      </c>
      <c r="C30" s="74" t="s">
        <v>19</v>
      </c>
      <c r="D30" s="74"/>
      <c r="E30" s="74"/>
      <c r="F30" s="3">
        <f>IF(LOOKUP($B30,StaffAvailability!$C$14:$C$28,StaffAvailability!F$14:F$28) = 1,1,0)</f>
        <v>0</v>
      </c>
      <c r="G30" s="3" t="s">
        <v>85</v>
      </c>
      <c r="H30" s="3" t="s">
        <v>84</v>
      </c>
      <c r="I30" s="3" t="s">
        <v>84</v>
      </c>
      <c r="J30" s="3" t="s">
        <v>82</v>
      </c>
      <c r="K30" s="3" t="s">
        <v>84</v>
      </c>
      <c r="L30" s="3" t="s">
        <v>84</v>
      </c>
      <c r="M30" s="3">
        <f>IF(LOOKUP($B30,StaffAvailability!$C$14:$C$28,StaffAvailability!M$14:M$28) = 1,1,0)</f>
        <v>0</v>
      </c>
      <c r="N30" s="3" t="s">
        <v>82</v>
      </c>
      <c r="O30" s="3" t="s">
        <v>82</v>
      </c>
      <c r="P30" s="3" t="s">
        <v>83</v>
      </c>
      <c r="Q30" s="3" t="s">
        <v>81</v>
      </c>
      <c r="R30" s="3" t="s">
        <v>82</v>
      </c>
      <c r="S30" s="3" t="s">
        <v>96</v>
      </c>
      <c r="T30" s="3">
        <f>IF(LOOKUP($B30,StaffAvailability!$C$14:$C$28,StaffAvailability!T$14:T$28) = 1,1,0)</f>
        <v>0</v>
      </c>
      <c r="U30" s="3" t="s">
        <v>83</v>
      </c>
      <c r="V30" s="3" t="s">
        <v>84</v>
      </c>
      <c r="W30" s="3" t="s">
        <v>84</v>
      </c>
      <c r="X30" s="3" t="s">
        <v>82</v>
      </c>
      <c r="Y30" s="3" t="s">
        <v>81</v>
      </c>
      <c r="Z30" s="3" t="s">
        <v>96</v>
      </c>
      <c r="AA30" s="3">
        <f>IF(LOOKUP($B30,StaffAvailability!$C$14:$C$28,StaffAvailability!AA$14:AA$28) = 1,1,0)</f>
        <v>0</v>
      </c>
      <c r="AB30" s="3">
        <f>IF(LOOKUP($B30,StaffAvailability!$C$14:$C$28,StaffAvailability!AB$14:AB$28) = 1,1,0)</f>
        <v>0</v>
      </c>
      <c r="AC30" s="3" t="s">
        <v>82</v>
      </c>
      <c r="AD30" s="3" t="s">
        <v>84</v>
      </c>
      <c r="AE30" s="3" t="s">
        <v>83</v>
      </c>
      <c r="AF30" s="3" t="s">
        <v>81</v>
      </c>
      <c r="AG30" s="3" t="s">
        <v>96</v>
      </c>
      <c r="AH30" s="3">
        <f>IF(LOOKUP($B30,StaffAvailability!$C$14:$C$28,StaffAvailability!AH$14:AH$28) = 1,1,0)</f>
        <v>0</v>
      </c>
      <c r="AI30" s="3" t="s">
        <v>82</v>
      </c>
    </row>
    <row r="31" spans="1:36" x14ac:dyDescent="0.75">
      <c r="A31" s="60"/>
      <c r="B31" s="3" t="s">
        <v>20</v>
      </c>
      <c r="C31" s="74" t="s">
        <v>21</v>
      </c>
      <c r="D31" s="74"/>
      <c r="E31" s="74"/>
      <c r="F31" s="3">
        <f>IF(LOOKUP($B31,StaffAvailability!$C$14:$C$28,StaffAvailability!F$14:F$28) = 1,1,0)</f>
        <v>0</v>
      </c>
      <c r="G31" s="3">
        <f>IF(LOOKUP($B31,StaffAvailability!$C$14:$C$28,StaffAvailability!G$14:G$28) = 1,1,0)</f>
        <v>0</v>
      </c>
      <c r="H31" s="3" t="s">
        <v>83</v>
      </c>
      <c r="I31" s="3" t="s">
        <v>84</v>
      </c>
      <c r="J31" s="3" t="s">
        <v>84</v>
      </c>
      <c r="K31" s="3" t="s">
        <v>82</v>
      </c>
      <c r="L31" s="3" t="s">
        <v>82</v>
      </c>
      <c r="M31" s="3">
        <f>IF(LOOKUP($B31,StaffAvailability!$C$14:$C$28,StaffAvailability!M$14:M$28) = 1,1,0)</f>
        <v>0</v>
      </c>
      <c r="N31" s="3" t="s">
        <v>84</v>
      </c>
      <c r="O31" s="3" t="s">
        <v>85</v>
      </c>
      <c r="P31" s="3" t="s">
        <v>85</v>
      </c>
      <c r="Q31" s="3" t="s">
        <v>83</v>
      </c>
      <c r="R31" s="3" t="s">
        <v>83</v>
      </c>
      <c r="S31" s="3" t="s">
        <v>81</v>
      </c>
      <c r="T31" s="3">
        <f>IF(LOOKUP($B31,StaffAvailability!$C$14:$C$28,StaffAvailability!T$14:T$28) = 1,1,0)</f>
        <v>0</v>
      </c>
      <c r="U31" s="3" t="s">
        <v>83</v>
      </c>
      <c r="V31" s="3" t="s">
        <v>84</v>
      </c>
      <c r="W31" s="3" t="s">
        <v>84</v>
      </c>
      <c r="X31" s="3" t="s">
        <v>84</v>
      </c>
      <c r="Y31" s="3" t="s">
        <v>84</v>
      </c>
      <c r="Z31" s="3" t="s">
        <v>82</v>
      </c>
      <c r="AA31" s="3">
        <f>IF(LOOKUP($B31,StaffAvailability!$C$14:$C$28,StaffAvailability!AA$14:AA$28) = 1,1,0)</f>
        <v>0</v>
      </c>
      <c r="AB31" s="3" t="s">
        <v>82</v>
      </c>
      <c r="AC31" s="3" t="s">
        <v>83</v>
      </c>
      <c r="AD31" s="3" t="s">
        <v>85</v>
      </c>
      <c r="AE31" s="3" t="s">
        <v>81</v>
      </c>
      <c r="AF31" s="3" t="s">
        <v>84</v>
      </c>
      <c r="AG31" s="3" t="s">
        <v>82</v>
      </c>
      <c r="AH31" s="3">
        <f>IF(LOOKUP($B31,StaffAvailability!$C$14:$C$28,StaffAvailability!AH$14:AH$28) = 1,1,0)</f>
        <v>0</v>
      </c>
      <c r="AI31" s="3" t="s">
        <v>84</v>
      </c>
    </row>
    <row r="32" spans="1:36" x14ac:dyDescent="0.75">
      <c r="A32" s="60"/>
      <c r="B32" s="3" t="s">
        <v>22</v>
      </c>
      <c r="C32" s="74" t="s">
        <v>23</v>
      </c>
      <c r="D32" s="74"/>
      <c r="E32" s="74"/>
      <c r="F32" s="3">
        <f>IF(LOOKUP($B32,StaffAvailability!$C$14:$C$28,StaffAvailability!F$14:F$28) = 1,1,0)</f>
        <v>0</v>
      </c>
      <c r="G32" s="3" t="s">
        <v>82</v>
      </c>
      <c r="H32" s="3" t="s">
        <v>85</v>
      </c>
      <c r="I32" s="3" t="s">
        <v>85</v>
      </c>
      <c r="J32" s="3" t="s">
        <v>84</v>
      </c>
      <c r="K32" s="3" t="s">
        <v>85</v>
      </c>
      <c r="L32" s="3" t="s">
        <v>96</v>
      </c>
      <c r="M32" s="3">
        <f>IF(LOOKUP($B32,StaffAvailability!$C$14:$C$28,StaffAvailability!M$14:M$28) = 1,1,0)</f>
        <v>0</v>
      </c>
      <c r="N32" s="3" t="s">
        <v>83</v>
      </c>
      <c r="O32" s="3" t="s">
        <v>84</v>
      </c>
      <c r="P32" s="3" t="s">
        <v>84</v>
      </c>
      <c r="Q32" s="3" t="s">
        <v>84</v>
      </c>
      <c r="R32" s="3" t="s">
        <v>83</v>
      </c>
      <c r="S32" s="3" t="s">
        <v>83</v>
      </c>
      <c r="T32" s="3">
        <f>IF(LOOKUP($B32,StaffAvailability!$C$14:$C$28,StaffAvailability!T$14:T$28) = 1,1,0)</f>
        <v>0</v>
      </c>
      <c r="U32" s="3" t="s">
        <v>81</v>
      </c>
      <c r="V32" s="3" t="s">
        <v>85</v>
      </c>
      <c r="W32" s="3">
        <f>IF(LOOKUP($B32,StaffAvailability!$C$14:$C$28,StaffAvailability!W$14:W$28) = 1,1,0)</f>
        <v>0</v>
      </c>
      <c r="X32" s="3" t="s">
        <v>81</v>
      </c>
      <c r="Y32" s="3" t="s">
        <v>84</v>
      </c>
      <c r="Z32" s="3" t="s">
        <v>84</v>
      </c>
      <c r="AA32" s="3">
        <f>IF(LOOKUP($B32,StaffAvailability!$C$14:$C$28,StaffAvailability!AA$14:AA$28) = 1,1,0)</f>
        <v>0</v>
      </c>
      <c r="AB32" s="3" t="s">
        <v>85</v>
      </c>
      <c r="AC32" s="3" t="s">
        <v>85</v>
      </c>
      <c r="AD32" s="3" t="s">
        <v>83</v>
      </c>
      <c r="AE32" s="3" t="s">
        <v>84</v>
      </c>
      <c r="AF32" s="3" t="s">
        <v>82</v>
      </c>
      <c r="AG32" s="3" t="s">
        <v>96</v>
      </c>
      <c r="AH32" s="3">
        <f>IF(LOOKUP($B32,StaffAvailability!$C$14:$C$28,StaffAvailability!AH$14:AH$28) = 1,1,0)</f>
        <v>0</v>
      </c>
      <c r="AI32" s="3" t="s">
        <v>82</v>
      </c>
    </row>
    <row r="33" spans="1:35" x14ac:dyDescent="0.75">
      <c r="A33" s="60"/>
      <c r="B33" s="3" t="s">
        <v>24</v>
      </c>
      <c r="C33" s="74" t="s">
        <v>25</v>
      </c>
      <c r="D33" s="74"/>
      <c r="E33" s="74"/>
      <c r="F33" s="3">
        <f>IF(LOOKUP($B33,StaffAvailability!$C$14:$C$28,StaffAvailability!F$14:F$28) = 1,1,0)</f>
        <v>0</v>
      </c>
      <c r="G33" s="3" t="s">
        <v>82</v>
      </c>
      <c r="H33" s="3" t="s">
        <v>85</v>
      </c>
      <c r="I33" s="3" t="s">
        <v>81</v>
      </c>
      <c r="J33" s="3" t="s">
        <v>81</v>
      </c>
      <c r="K33" s="3" t="s">
        <v>83</v>
      </c>
      <c r="L33" s="3" t="s">
        <v>81</v>
      </c>
      <c r="M33" s="3">
        <f>IF(LOOKUP($B33,StaffAvailability!$C$14:$C$28,StaffAvailability!M$14:M$28) = 1,1,0)</f>
        <v>0</v>
      </c>
      <c r="N33" s="3" t="s">
        <v>81</v>
      </c>
      <c r="O33" s="3" t="s">
        <v>85</v>
      </c>
      <c r="P33" s="3" t="s">
        <v>84</v>
      </c>
      <c r="Q33" s="3" t="s">
        <v>84</v>
      </c>
      <c r="R33" s="3" t="s">
        <v>81</v>
      </c>
      <c r="S33" s="3">
        <f>IF(LOOKUP($B33,StaffAvailability!$C$14:$C$28,StaffAvailability!S$14:S$28) = 1,1,0)</f>
        <v>0</v>
      </c>
      <c r="T33" s="3">
        <f>IF(LOOKUP($B33,StaffAvailability!$C$14:$C$28,StaffAvailability!T$14:T$28) = 1,1,0)</f>
        <v>0</v>
      </c>
      <c r="U33" s="3" t="s">
        <v>84</v>
      </c>
      <c r="V33" s="3" t="s">
        <v>83</v>
      </c>
      <c r="W33" s="3" t="s">
        <v>82</v>
      </c>
      <c r="X33" s="3" t="s">
        <v>81</v>
      </c>
      <c r="Y33" s="3" t="s">
        <v>85</v>
      </c>
      <c r="Z33" s="3" t="s">
        <v>82</v>
      </c>
      <c r="AA33" s="3">
        <f>IF(LOOKUP($B33,StaffAvailability!$C$14:$C$28,StaffAvailability!AA$14:AA$28) = 1,1,0)</f>
        <v>0</v>
      </c>
      <c r="AB33" s="3" t="s">
        <v>82</v>
      </c>
      <c r="AC33" s="3" t="s">
        <v>85</v>
      </c>
      <c r="AD33" s="3" t="s">
        <v>81</v>
      </c>
      <c r="AE33" s="3" t="s">
        <v>84</v>
      </c>
      <c r="AF33" s="3" t="s">
        <v>82</v>
      </c>
      <c r="AG33" s="3" t="s">
        <v>82</v>
      </c>
      <c r="AH33" s="3">
        <f>IF(LOOKUP($B33,StaffAvailability!$C$14:$C$28,StaffAvailability!AH$14:AH$28) = 1,1,0)</f>
        <v>0</v>
      </c>
      <c r="AI33" s="3" t="s">
        <v>84</v>
      </c>
    </row>
    <row r="34" spans="1:35" x14ac:dyDescent="0.75">
      <c r="A34" s="60"/>
      <c r="B34" s="3" t="s">
        <v>26</v>
      </c>
      <c r="C34" s="74" t="s">
        <v>27</v>
      </c>
      <c r="D34" s="74"/>
      <c r="E34" s="74"/>
      <c r="F34" s="3">
        <f>IF(LOOKUP($B34,StaffAvailability!$C$14:$C$28,StaffAvailability!F$14:F$28) = 1,1,0)</f>
        <v>0</v>
      </c>
      <c r="G34" s="3" t="s">
        <v>83</v>
      </c>
      <c r="H34" s="3" t="s">
        <v>81</v>
      </c>
      <c r="I34" s="3" t="s">
        <v>82</v>
      </c>
      <c r="J34" s="3" t="s">
        <v>84</v>
      </c>
      <c r="K34" s="3" t="s">
        <v>82</v>
      </c>
      <c r="L34" s="3" t="s">
        <v>84</v>
      </c>
      <c r="M34" s="3">
        <f>IF(LOOKUP($B34,StaffAvailability!$C$14:$C$28,StaffAvailability!M$14:M$28) = 1,1,0)</f>
        <v>0</v>
      </c>
      <c r="N34" s="3" t="s">
        <v>82</v>
      </c>
      <c r="O34" s="3" t="s">
        <v>82</v>
      </c>
      <c r="P34" s="3" t="s">
        <v>84</v>
      </c>
      <c r="Q34" s="3" t="s">
        <v>81</v>
      </c>
      <c r="R34" s="3" t="s">
        <v>82</v>
      </c>
      <c r="S34" s="3" t="s">
        <v>96</v>
      </c>
      <c r="T34" s="3">
        <f>IF(LOOKUP($B34,StaffAvailability!$C$14:$C$28,StaffAvailability!T$14:T$28) = 1,1,0)</f>
        <v>0</v>
      </c>
      <c r="U34" s="3" t="s">
        <v>82</v>
      </c>
      <c r="V34" s="3" t="s">
        <v>81</v>
      </c>
      <c r="W34" s="3" t="s">
        <v>83</v>
      </c>
      <c r="X34" s="3" t="s">
        <v>82</v>
      </c>
      <c r="Y34" s="3" t="s">
        <v>84</v>
      </c>
      <c r="Z34" s="3" t="s">
        <v>96</v>
      </c>
      <c r="AA34" s="3">
        <f>IF(LOOKUP($B34,StaffAvailability!$C$14:$C$28,StaffAvailability!AA$14:AA$28) = 1,1,0)</f>
        <v>0</v>
      </c>
      <c r="AB34" s="3" t="s">
        <v>81</v>
      </c>
      <c r="AC34" s="3" t="s">
        <v>84</v>
      </c>
      <c r="AD34" s="3" t="s">
        <v>84</v>
      </c>
      <c r="AE34" s="3" t="s">
        <v>82</v>
      </c>
      <c r="AF34" s="3" t="s">
        <v>84</v>
      </c>
      <c r="AG34" s="3">
        <f>IF(LOOKUP($B34,StaffAvailability!$C$14:$C$28,StaffAvailability!AG$14:AG$28) = 1,1,0)</f>
        <v>0</v>
      </c>
      <c r="AH34" s="3">
        <f>IF(LOOKUP($B34,StaffAvailability!$C$14:$C$28,StaffAvailability!AH$14:AH$28) = 1,1,0)</f>
        <v>0</v>
      </c>
      <c r="AI34" s="3" t="s">
        <v>83</v>
      </c>
    </row>
    <row r="35" spans="1:35" x14ac:dyDescent="0.75">
      <c r="A35" s="60"/>
      <c r="B35" s="3" t="s">
        <v>28</v>
      </c>
      <c r="C35" s="74" t="s">
        <v>29</v>
      </c>
      <c r="D35" s="74"/>
      <c r="E35" s="74"/>
      <c r="F35" s="3">
        <f>IF(LOOKUP($B35,StaffAvailability!$C$14:$C$28,StaffAvailability!F$14:F$28) = 1,1,0)</f>
        <v>0</v>
      </c>
      <c r="G35" s="3" t="s">
        <v>81</v>
      </c>
      <c r="H35" s="3" t="s">
        <v>81</v>
      </c>
      <c r="I35" s="3" t="s">
        <v>82</v>
      </c>
      <c r="J35" s="3" t="s">
        <v>85</v>
      </c>
      <c r="K35" s="3" t="s">
        <v>81</v>
      </c>
      <c r="L35" s="3" t="s">
        <v>82</v>
      </c>
      <c r="M35" s="3">
        <f>IF(LOOKUP($B35,StaffAvailability!$C$14:$C$28,StaffAvailability!M$14:M$28) = 1,1,0)</f>
        <v>0</v>
      </c>
      <c r="N35" s="3" t="s">
        <v>85</v>
      </c>
      <c r="O35" s="3" t="s">
        <v>83</v>
      </c>
      <c r="P35" s="3" t="s">
        <v>82</v>
      </c>
      <c r="Q35" s="3" t="s">
        <v>84</v>
      </c>
      <c r="R35" s="3" t="s">
        <v>82</v>
      </c>
      <c r="S35" s="3" t="s">
        <v>96</v>
      </c>
      <c r="T35" s="3">
        <f>IF(LOOKUP($B35,StaffAvailability!$C$14:$C$28,StaffAvailability!T$14:T$28) = 1,1,0)</f>
        <v>0</v>
      </c>
      <c r="U35" s="3" t="s">
        <v>82</v>
      </c>
      <c r="V35" s="3" t="s">
        <v>82</v>
      </c>
      <c r="W35" s="3" t="s">
        <v>83</v>
      </c>
      <c r="X35" s="3" t="s">
        <v>82</v>
      </c>
      <c r="Y35" s="3" t="s">
        <v>82</v>
      </c>
      <c r="Z35" s="3" t="s">
        <v>96</v>
      </c>
      <c r="AA35" s="3">
        <f>IF(LOOKUP($B35,StaffAvailability!$C$14:$C$28,StaffAvailability!AA$14:AA$28) = 1,1,0)</f>
        <v>0</v>
      </c>
      <c r="AB35" s="3">
        <f>IF(LOOKUP($B35,StaffAvailability!$C$14:$C$28,StaffAvailability!AB$14:AB$28) = 1,1,0)</f>
        <v>0</v>
      </c>
      <c r="AC35" s="3" t="s">
        <v>84</v>
      </c>
      <c r="AD35" s="3" t="s">
        <v>81</v>
      </c>
      <c r="AE35" s="3" t="s">
        <v>83</v>
      </c>
      <c r="AF35" s="3" t="s">
        <v>81</v>
      </c>
      <c r="AG35" s="3" t="s">
        <v>81</v>
      </c>
      <c r="AH35" s="3">
        <f>IF(LOOKUP($B35,StaffAvailability!$C$14:$C$28,StaffAvailability!AH$14:AH$28) = 1,1,0)</f>
        <v>0</v>
      </c>
      <c r="AI35" s="3" t="s">
        <v>81</v>
      </c>
    </row>
    <row r="36" spans="1:35" x14ac:dyDescent="0.75">
      <c r="A36" s="60"/>
      <c r="B36" s="3" t="s">
        <v>30</v>
      </c>
      <c r="C36" s="74" t="s">
        <v>31</v>
      </c>
      <c r="D36" s="74"/>
      <c r="E36" s="74"/>
      <c r="F36" s="3">
        <f>IF(LOOKUP($B36,StaffAvailability!$C$14:$C$28,StaffAvailability!F$14:F$28) = 1,1,0)</f>
        <v>0</v>
      </c>
      <c r="G36" s="3" t="s">
        <v>85</v>
      </c>
      <c r="H36" s="3" t="s">
        <v>81</v>
      </c>
      <c r="I36" s="3" t="s">
        <v>81</v>
      </c>
      <c r="J36" s="3" t="s">
        <v>83</v>
      </c>
      <c r="K36" s="3" t="s">
        <v>82</v>
      </c>
      <c r="L36" s="3" t="s">
        <v>96</v>
      </c>
      <c r="M36" s="3">
        <f>IF(LOOKUP($B36,StaffAvailability!$C$14:$C$28,StaffAvailability!M$14:M$28) = 1,1,0)</f>
        <v>0</v>
      </c>
      <c r="N36" s="3" t="s">
        <v>85</v>
      </c>
      <c r="O36" s="3" t="s">
        <v>84</v>
      </c>
      <c r="P36" s="3" t="s">
        <v>83</v>
      </c>
      <c r="Q36" s="3" t="s">
        <v>83</v>
      </c>
      <c r="R36" s="3" t="s">
        <v>85</v>
      </c>
      <c r="S36" s="3" t="s">
        <v>96</v>
      </c>
      <c r="T36" s="3">
        <f>IF(LOOKUP($B36,StaffAvailability!$C$14:$C$28,StaffAvailability!T$14:T$28) = 1,1,0)</f>
        <v>0</v>
      </c>
      <c r="U36" s="3" t="s">
        <v>81</v>
      </c>
      <c r="V36" s="3" t="s">
        <v>85</v>
      </c>
      <c r="W36" s="3" t="s">
        <v>82</v>
      </c>
      <c r="X36" s="3" t="s">
        <v>83</v>
      </c>
      <c r="Y36" s="3" t="s">
        <v>83</v>
      </c>
      <c r="Z36" s="3" t="s">
        <v>83</v>
      </c>
      <c r="AA36" s="3">
        <f>IF(LOOKUP($B36,StaffAvailability!$C$14:$C$28,StaffAvailability!AA$14:AA$28) = 1,1,0)</f>
        <v>0</v>
      </c>
      <c r="AB36" s="3" t="s">
        <v>81</v>
      </c>
      <c r="AC36" s="3" t="s">
        <v>82</v>
      </c>
      <c r="AD36" s="3" t="s">
        <v>82</v>
      </c>
      <c r="AE36" s="3" t="s">
        <v>82</v>
      </c>
      <c r="AF36" s="3" t="s">
        <v>84</v>
      </c>
      <c r="AG36" s="3" t="s">
        <v>83</v>
      </c>
      <c r="AH36" s="3">
        <f>IF(LOOKUP($B36,StaffAvailability!$C$14:$C$28,StaffAvailability!AH$14:AH$28) = 1,1,0)</f>
        <v>0</v>
      </c>
      <c r="AI36" s="3" t="s">
        <v>83</v>
      </c>
    </row>
    <row r="37" spans="1:35" x14ac:dyDescent="0.75">
      <c r="A37" s="60"/>
      <c r="B37" s="3" t="s">
        <v>32</v>
      </c>
      <c r="C37" s="74" t="s">
        <v>33</v>
      </c>
      <c r="D37" s="74"/>
      <c r="E37" s="74"/>
      <c r="F37" s="3">
        <f>IF(LOOKUP($B37,StaffAvailability!$C$14:$C$28,StaffAvailability!F$14:F$28) = 1,1,0)</f>
        <v>0</v>
      </c>
      <c r="G37" s="3" t="s">
        <v>81</v>
      </c>
      <c r="H37" s="3" t="s">
        <v>82</v>
      </c>
      <c r="I37" s="3" t="s">
        <v>84</v>
      </c>
      <c r="J37" s="3" t="s">
        <v>81</v>
      </c>
      <c r="K37" s="3" t="s">
        <v>83</v>
      </c>
      <c r="L37" s="3" t="s">
        <v>96</v>
      </c>
      <c r="M37" s="3">
        <f>IF(LOOKUP($B37,StaffAvailability!$C$14:$C$28,StaffAvailability!M$14:M$28) = 1,1,0)</f>
        <v>0</v>
      </c>
      <c r="N37" s="3" t="s">
        <v>84</v>
      </c>
      <c r="O37" s="3" t="s">
        <v>83</v>
      </c>
      <c r="P37" s="3" t="s">
        <v>81</v>
      </c>
      <c r="Q37" s="3" t="s">
        <v>82</v>
      </c>
      <c r="R37" s="3" t="s">
        <v>84</v>
      </c>
      <c r="S37" s="3" t="s">
        <v>82</v>
      </c>
      <c r="T37" s="3">
        <f>IF(LOOKUP($B37,StaffAvailability!$C$14:$C$28,StaffAvailability!T$14:T$28) = 1,1,0)</f>
        <v>0</v>
      </c>
      <c r="U37" s="3" t="s">
        <v>85</v>
      </c>
      <c r="V37" s="3" t="s">
        <v>81</v>
      </c>
      <c r="W37" s="3" t="s">
        <v>85</v>
      </c>
      <c r="X37" s="3" t="s">
        <v>81</v>
      </c>
      <c r="Y37" s="3" t="s">
        <v>83</v>
      </c>
      <c r="Z37" s="3" t="s">
        <v>96</v>
      </c>
      <c r="AA37" s="3">
        <f>IF(LOOKUP($B37,StaffAvailability!$C$14:$C$28,StaffAvailability!AA$14:AA$28) = 1,1,0)</f>
        <v>0</v>
      </c>
      <c r="AB37" s="3" t="s">
        <v>81</v>
      </c>
      <c r="AC37" s="3" t="s">
        <v>84</v>
      </c>
      <c r="AD37" s="3" t="s">
        <v>83</v>
      </c>
      <c r="AE37" s="3" t="s">
        <v>84</v>
      </c>
      <c r="AF37" s="3" t="s">
        <v>83</v>
      </c>
      <c r="AG37" s="3" t="s">
        <v>96</v>
      </c>
      <c r="AH37" s="3">
        <f>IF(LOOKUP($B37,StaffAvailability!$C$14:$C$28,StaffAvailability!AH$14:AH$28) = 1,1,0)</f>
        <v>0</v>
      </c>
      <c r="AI37" s="3" t="s">
        <v>84</v>
      </c>
    </row>
    <row r="38" spans="1:35" x14ac:dyDescent="0.75">
      <c r="A38" s="60"/>
      <c r="B38" s="3" t="s">
        <v>34</v>
      </c>
      <c r="C38" s="74" t="s">
        <v>35</v>
      </c>
      <c r="D38" s="74"/>
      <c r="E38" s="74"/>
      <c r="F38" s="3">
        <f>IF(LOOKUP($B38,StaffAvailability!$C$14:$C$28,StaffAvailability!F$14:F$28) = 1,1,0)</f>
        <v>0</v>
      </c>
      <c r="G38" s="3" t="s">
        <v>84</v>
      </c>
      <c r="H38" s="3" t="s">
        <v>83</v>
      </c>
      <c r="I38" s="3" t="s">
        <v>83</v>
      </c>
      <c r="J38" s="3" t="s">
        <v>83</v>
      </c>
      <c r="K38" s="3" t="s">
        <v>81</v>
      </c>
      <c r="L38" s="3" t="s">
        <v>96</v>
      </c>
      <c r="M38" s="3">
        <f>IF(LOOKUP($B38,StaffAvailability!$C$14:$C$28,StaffAvailability!M$14:M$28) = 1,1,0)</f>
        <v>0</v>
      </c>
      <c r="N38" s="3">
        <f>IF(LOOKUP($B38,StaffAvailability!$C$14:$C$28,StaffAvailability!N$14:N$28) = 1,1,0)</f>
        <v>0</v>
      </c>
      <c r="O38" s="3">
        <f>IF(LOOKUP($B38,StaffAvailability!$C$14:$C$28,StaffAvailability!O$14:O$28) = 1,1,0)</f>
        <v>0</v>
      </c>
      <c r="P38" s="3">
        <f>IF(LOOKUP($B38,StaffAvailability!$C$14:$C$28,StaffAvailability!P$14:P$28) = 1,1,0)</f>
        <v>0</v>
      </c>
      <c r="Q38" s="3" t="s">
        <v>82</v>
      </c>
      <c r="R38" s="3" t="s">
        <v>83</v>
      </c>
      <c r="S38" s="3" t="s">
        <v>82</v>
      </c>
      <c r="T38" s="3">
        <f>IF(LOOKUP($B38,StaffAvailability!$C$14:$C$28,StaffAvailability!T$14:T$28) = 1,1,0)</f>
        <v>0</v>
      </c>
      <c r="U38" s="3" t="s">
        <v>81</v>
      </c>
      <c r="V38" s="3" t="s">
        <v>82</v>
      </c>
      <c r="W38" s="3" t="s">
        <v>84</v>
      </c>
      <c r="X38" s="3" t="s">
        <v>84</v>
      </c>
      <c r="Y38" s="3" t="s">
        <v>81</v>
      </c>
      <c r="Z38" s="3" t="s">
        <v>96</v>
      </c>
      <c r="AA38" s="3">
        <f>IF(LOOKUP($B38,StaffAvailability!$C$14:$C$28,StaffAvailability!AA$14:AA$28) = 1,1,0)</f>
        <v>0</v>
      </c>
      <c r="AB38" s="3" t="s">
        <v>82</v>
      </c>
      <c r="AC38" s="3" t="s">
        <v>83</v>
      </c>
      <c r="AD38" s="3" t="s">
        <v>84</v>
      </c>
      <c r="AE38" s="3" t="s">
        <v>85</v>
      </c>
      <c r="AF38" s="3" t="s">
        <v>81</v>
      </c>
      <c r="AG38" s="3" t="s">
        <v>84</v>
      </c>
      <c r="AH38" s="3">
        <f>IF(LOOKUP($B38,StaffAvailability!$C$14:$C$28,StaffAvailability!AH$14:AH$28) = 1,1,0)</f>
        <v>0</v>
      </c>
      <c r="AI38" s="3" t="s">
        <v>81</v>
      </c>
    </row>
    <row r="39" spans="1:35" x14ac:dyDescent="0.75">
      <c r="A39" s="60"/>
      <c r="B39" s="3" t="s">
        <v>36</v>
      </c>
      <c r="C39" s="74" t="s">
        <v>37</v>
      </c>
      <c r="D39" s="74"/>
      <c r="E39" s="74"/>
      <c r="F39" s="3">
        <f>IF(LOOKUP($B39,StaffAvailability!$C$14:$C$28,StaffAvailability!F$14:F$28) = 1,1,0)</f>
        <v>0</v>
      </c>
      <c r="G39" s="3" t="s">
        <v>84</v>
      </c>
      <c r="H39" s="3" t="s">
        <v>81</v>
      </c>
      <c r="I39" s="3" t="s">
        <v>85</v>
      </c>
      <c r="J39" s="3" t="s">
        <v>82</v>
      </c>
      <c r="K39" s="3" t="s">
        <v>81</v>
      </c>
      <c r="L39" s="3" t="s">
        <v>96</v>
      </c>
      <c r="M39" s="3">
        <f>IF(LOOKUP($B39,StaffAvailability!$C$14:$C$28,StaffAvailability!M$14:M$28) = 1,1,0)</f>
        <v>0</v>
      </c>
      <c r="N39" s="3" t="s">
        <v>83</v>
      </c>
      <c r="O39" s="3" t="s">
        <v>85</v>
      </c>
      <c r="P39" s="3" t="s">
        <v>82</v>
      </c>
      <c r="Q39" s="3" t="s">
        <v>83</v>
      </c>
      <c r="R39" s="3" t="s">
        <v>81</v>
      </c>
      <c r="S39" s="3" t="s">
        <v>84</v>
      </c>
      <c r="T39" s="3">
        <f>IF(LOOKUP($B39,StaffAvailability!$C$14:$C$28,StaffAvailability!T$14:T$28) = 1,1,0)</f>
        <v>0</v>
      </c>
      <c r="U39" s="3" t="s">
        <v>83</v>
      </c>
      <c r="V39" s="3" t="s">
        <v>82</v>
      </c>
      <c r="W39" s="3" t="s">
        <v>82</v>
      </c>
      <c r="X39" s="3" t="s">
        <v>85</v>
      </c>
      <c r="Y39" s="3" t="s">
        <v>85</v>
      </c>
      <c r="Z39" s="3" t="s">
        <v>81</v>
      </c>
      <c r="AA39" s="3">
        <f>IF(LOOKUP($B39,StaffAvailability!$C$14:$C$28,StaffAvailability!AA$14:AA$28) = 1,1,0)</f>
        <v>0</v>
      </c>
      <c r="AB39" s="3" t="s">
        <v>83</v>
      </c>
      <c r="AC39" s="3" t="s">
        <v>82</v>
      </c>
      <c r="AD39" s="3" t="s">
        <v>82</v>
      </c>
      <c r="AE39" s="3" t="s">
        <v>81</v>
      </c>
      <c r="AF39" s="3" t="s">
        <v>82</v>
      </c>
      <c r="AG39" s="3" t="s">
        <v>96</v>
      </c>
      <c r="AH39" s="3">
        <f>IF(LOOKUP($B39,StaffAvailability!$C$14:$C$28,StaffAvailability!AH$14:AH$28) = 1,1,0)</f>
        <v>0</v>
      </c>
      <c r="AI39" s="3" t="s">
        <v>82</v>
      </c>
    </row>
    <row r="40" spans="1:35" x14ac:dyDescent="0.75">
      <c r="A40" s="60"/>
      <c r="B40" s="3" t="s">
        <v>38</v>
      </c>
      <c r="C40" s="74" t="s">
        <v>39</v>
      </c>
      <c r="D40" s="74"/>
      <c r="E40" s="74"/>
      <c r="F40" s="3">
        <f>IF(LOOKUP($B40,StaffAvailability!$C$14:$C$28,StaffAvailability!F$14:F$28) = 1,1,0)</f>
        <v>0</v>
      </c>
      <c r="G40" s="3" t="s">
        <v>83</v>
      </c>
      <c r="H40" s="3" t="s">
        <v>84</v>
      </c>
      <c r="I40" s="3" t="s">
        <v>83</v>
      </c>
      <c r="J40" s="3" t="s">
        <v>83</v>
      </c>
      <c r="K40" s="3" t="s">
        <v>85</v>
      </c>
      <c r="L40" s="3" t="s">
        <v>85</v>
      </c>
      <c r="M40" s="3">
        <f>IF(LOOKUP($B40,StaffAvailability!$C$14:$C$28,StaffAvailability!M$14:M$28) = 1,1,0)</f>
        <v>0</v>
      </c>
      <c r="N40" s="3" t="s">
        <v>84</v>
      </c>
      <c r="O40" s="3" t="s">
        <v>81</v>
      </c>
      <c r="P40" s="3" t="s">
        <v>85</v>
      </c>
      <c r="Q40" s="3" t="s">
        <v>84</v>
      </c>
      <c r="R40" s="3" t="s">
        <v>85</v>
      </c>
      <c r="S40" s="3" t="s">
        <v>96</v>
      </c>
      <c r="T40" s="3">
        <f>IF(LOOKUP($B40,StaffAvailability!$C$14:$C$28,StaffAvailability!T$14:T$28) = 1,1,0)</f>
        <v>0</v>
      </c>
      <c r="U40" s="3" t="s">
        <v>85</v>
      </c>
      <c r="V40" s="3" t="s">
        <v>83</v>
      </c>
      <c r="W40" s="3" t="s">
        <v>81</v>
      </c>
      <c r="X40" s="3" t="s">
        <v>85</v>
      </c>
      <c r="Y40" s="3" t="s">
        <v>82</v>
      </c>
      <c r="Z40" s="3" t="s">
        <v>96</v>
      </c>
      <c r="AA40" s="3">
        <f>IF(LOOKUP($B40,StaffAvailability!$C$14:$C$28,StaffAvailability!AA$14:AA$28) = 1,1,0)</f>
        <v>0</v>
      </c>
      <c r="AB40" s="3" t="s">
        <v>83</v>
      </c>
      <c r="AC40" s="3" t="s">
        <v>81</v>
      </c>
      <c r="AD40" s="3" t="s">
        <v>82</v>
      </c>
      <c r="AE40" s="3">
        <f>IF(LOOKUP($B40,StaffAvailability!$C$14:$C$28,StaffAvailability!AE$14:AE$28) = 1,1,0)</f>
        <v>0</v>
      </c>
      <c r="AF40" s="3" t="s">
        <v>82</v>
      </c>
      <c r="AG40" s="3" t="s">
        <v>85</v>
      </c>
      <c r="AH40" s="3">
        <f>IF(LOOKUP($B40,StaffAvailability!$C$14:$C$28,StaffAvailability!AH$14:AH$28) = 1,1,0)</f>
        <v>0</v>
      </c>
      <c r="AI40" s="3" t="s">
        <v>85</v>
      </c>
    </row>
    <row r="41" spans="1:35" x14ac:dyDescent="0.75">
      <c r="A41" s="60"/>
      <c r="B41" s="3" t="s">
        <v>40</v>
      </c>
      <c r="C41" s="74" t="s">
        <v>41</v>
      </c>
      <c r="D41" s="74"/>
      <c r="E41" s="74"/>
      <c r="F41" s="3">
        <f>IF(LOOKUP($B41,StaffAvailability!$C$14:$C$28,StaffAvailability!F$14:F$28) = 1,1,0)</f>
        <v>0</v>
      </c>
      <c r="G41" s="3" t="s">
        <v>82</v>
      </c>
      <c r="H41" s="3" t="s">
        <v>84</v>
      </c>
      <c r="I41" s="3" t="s">
        <v>85</v>
      </c>
      <c r="J41" s="3" t="s">
        <v>82</v>
      </c>
      <c r="K41" s="3" t="s">
        <v>83</v>
      </c>
      <c r="L41" s="3" t="s">
        <v>96</v>
      </c>
      <c r="M41" s="3">
        <f>IF(LOOKUP($B41,StaffAvailability!$C$14:$C$28,StaffAvailability!M$14:M$28) = 1,1,0)</f>
        <v>0</v>
      </c>
      <c r="N41" s="3" t="s">
        <v>85</v>
      </c>
      <c r="O41" s="3" t="s">
        <v>82</v>
      </c>
      <c r="P41" s="3" t="s">
        <v>81</v>
      </c>
      <c r="Q41" s="3" t="s">
        <v>85</v>
      </c>
      <c r="R41" s="3" t="s">
        <v>82</v>
      </c>
      <c r="S41" s="3" t="s">
        <v>84</v>
      </c>
      <c r="T41" s="3">
        <f>IF(LOOKUP($B41,StaffAvailability!$C$14:$C$28,StaffAvailability!T$14:T$28) = 1,1,0)</f>
        <v>0</v>
      </c>
      <c r="U41" s="3" t="s">
        <v>82</v>
      </c>
      <c r="V41" s="3" t="s">
        <v>82</v>
      </c>
      <c r="W41" s="3" t="s">
        <v>82</v>
      </c>
      <c r="X41" s="3" t="s">
        <v>82</v>
      </c>
      <c r="Y41" s="3" t="s">
        <v>83</v>
      </c>
      <c r="Z41" s="3" t="s">
        <v>96</v>
      </c>
      <c r="AA41" s="3">
        <f>IF(LOOKUP($B41,StaffAvailability!$C$14:$C$28,StaffAvailability!AA$14:AA$28) = 1,1,0)</f>
        <v>0</v>
      </c>
      <c r="AB41" s="3" t="s">
        <v>84</v>
      </c>
      <c r="AC41" s="3" t="s">
        <v>81</v>
      </c>
      <c r="AD41" s="3" t="s">
        <v>84</v>
      </c>
      <c r="AE41" s="3" t="s">
        <v>82</v>
      </c>
      <c r="AF41" s="3" t="s">
        <v>83</v>
      </c>
      <c r="AG41" s="3" t="s">
        <v>96</v>
      </c>
      <c r="AH41" s="3">
        <f>IF(LOOKUP($B41,StaffAvailability!$C$14:$C$28,StaffAvailability!AH$14:AH$28) = 1,1,0)</f>
        <v>0</v>
      </c>
      <c r="AI41" s="3" t="s">
        <v>82</v>
      </c>
    </row>
    <row r="42" spans="1:35" x14ac:dyDescent="0.75"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</row>
  </sheetData>
  <mergeCells count="24">
    <mergeCell ref="F6:G6"/>
    <mergeCell ref="F7:G7"/>
    <mergeCell ref="F8:G8"/>
    <mergeCell ref="F9:G9"/>
    <mergeCell ref="C35:E35"/>
    <mergeCell ref="F10:G10"/>
    <mergeCell ref="F11:G11"/>
    <mergeCell ref="F12:G12"/>
    <mergeCell ref="F13:G13"/>
    <mergeCell ref="C27:E27"/>
    <mergeCell ref="C26:E26"/>
    <mergeCell ref="C33:E33"/>
    <mergeCell ref="C34:E34"/>
    <mergeCell ref="C31:E31"/>
    <mergeCell ref="C32:E32"/>
    <mergeCell ref="C28:E28"/>
    <mergeCell ref="C29:E29"/>
    <mergeCell ref="C30:E30"/>
    <mergeCell ref="C41:E41"/>
    <mergeCell ref="C38:E38"/>
    <mergeCell ref="C37:E37"/>
    <mergeCell ref="C36:E36"/>
    <mergeCell ref="C39:E39"/>
    <mergeCell ref="C40:E40"/>
  </mergeCells>
  <conditionalFormatting sqref="F27:AI41">
    <cfRule type="cellIs" dxfId="3" priority="1" operator="equal">
      <formula>"Standby"</formula>
    </cfRule>
    <cfRule type="cellIs" dxfId="2" priority="4" operator="equal">
      <formula>0</formula>
    </cfRule>
  </conditionalFormatting>
  <dataValidations disablePrompts="1" count="1">
    <dataValidation type="list" allowBlank="1" showInputMessage="1" showErrorMessage="1" sqref="C4" xr:uid="{DA35080D-1C6E-4D67-B4F1-F90633D7FAAD}">
      <formula1>$A$1:$A$12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Roster">
                <anchor moveWithCells="1" sizeWithCells="1">
                  <from>
                    <xdr:col>12</xdr:col>
                    <xdr:colOff>603250</xdr:colOff>
                    <xdr:row>3</xdr:row>
                    <xdr:rowOff>41275</xdr:rowOff>
                  </from>
                  <to>
                    <xdr:col>17</xdr:col>
                    <xdr:colOff>339725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9AD5E-4BDA-4CB3-820D-24E6E2A8150F}">
  <sheetPr codeName="Sheet2"/>
  <dimension ref="A1:AJ301"/>
  <sheetViews>
    <sheetView showGridLines="0" zoomScale="80" zoomScaleNormal="80" workbookViewId="0">
      <pane xSplit="5" ySplit="13" topLeftCell="F84" activePane="bottomRight" state="frozen"/>
      <selection activeCell="D14" sqref="D14"/>
      <selection pane="topRight" activeCell="D14" sqref="D14"/>
      <selection pane="bottomLeft" activeCell="D14" sqref="D14"/>
      <selection pane="bottomRight" activeCell="D14" sqref="D14"/>
    </sheetView>
  </sheetViews>
  <sheetFormatPr defaultRowHeight="14.75" x14ac:dyDescent="0.75"/>
  <cols>
    <col min="1" max="1" width="2.76953125" customWidth="1"/>
    <col min="2" max="2" width="3.08984375" bestFit="1" customWidth="1"/>
    <col min="3" max="3" width="9.26953125" bestFit="1" customWidth="1"/>
    <col min="4" max="4" width="33.04296875" bestFit="1" customWidth="1"/>
    <col min="5" max="5" width="14.7265625" style="13" customWidth="1"/>
  </cols>
  <sheetData>
    <row r="1" spans="1:36" x14ac:dyDescent="0.75">
      <c r="A1" s="30" t="s">
        <v>52</v>
      </c>
    </row>
    <row r="2" spans="1:36" ht="25.5" x14ac:dyDescent="1.05">
      <c r="A2" s="30" t="s">
        <v>53</v>
      </c>
      <c r="B2" s="1" t="s">
        <v>47</v>
      </c>
    </row>
    <row r="3" spans="1:36" x14ac:dyDescent="0.75">
      <c r="A3" s="30" t="s">
        <v>54</v>
      </c>
      <c r="G3" s="34"/>
      <c r="H3" s="27"/>
      <c r="I3" s="27"/>
      <c r="J3" s="27"/>
    </row>
    <row r="4" spans="1:36" x14ac:dyDescent="0.75">
      <c r="A4" s="30" t="s">
        <v>55</v>
      </c>
      <c r="C4" s="13" t="s">
        <v>48</v>
      </c>
      <c r="D4" s="13" t="s">
        <v>55</v>
      </c>
      <c r="E4" s="24"/>
      <c r="G4" s="80"/>
      <c r="H4" s="80"/>
      <c r="I4" s="35"/>
      <c r="J4" s="27"/>
    </row>
    <row r="5" spans="1:36" x14ac:dyDescent="0.75">
      <c r="A5" s="30" t="s">
        <v>56</v>
      </c>
      <c r="C5" s="13" t="s">
        <v>51</v>
      </c>
      <c r="D5" s="12">
        <f ca="1">YEAR(NOW())</f>
        <v>2022</v>
      </c>
      <c r="G5" s="80"/>
      <c r="H5" s="80"/>
      <c r="I5" s="35"/>
      <c r="J5" s="27"/>
    </row>
    <row r="6" spans="1:36" x14ac:dyDescent="0.75">
      <c r="A6" s="30" t="s">
        <v>57</v>
      </c>
      <c r="B6" s="13"/>
      <c r="C6" s="13"/>
      <c r="G6" s="80"/>
      <c r="H6" s="80"/>
      <c r="I6" s="35"/>
      <c r="J6" s="27"/>
    </row>
    <row r="7" spans="1:36" x14ac:dyDescent="0.75">
      <c r="A7" s="30" t="s">
        <v>58</v>
      </c>
      <c r="C7" s="31" t="s">
        <v>64</v>
      </c>
      <c r="G7" s="80"/>
      <c r="H7" s="80"/>
      <c r="I7" s="35"/>
      <c r="J7" s="27"/>
    </row>
    <row r="8" spans="1:36" x14ac:dyDescent="0.75">
      <c r="A8" s="30" t="s">
        <v>59</v>
      </c>
      <c r="C8" s="31" t="s">
        <v>50</v>
      </c>
      <c r="G8" s="27"/>
      <c r="H8" s="27"/>
      <c r="I8" s="27"/>
      <c r="J8" s="27"/>
    </row>
    <row r="9" spans="1:36" s="13" customFormat="1" x14ac:dyDescent="0.75">
      <c r="A9" s="30" t="s">
        <v>60</v>
      </c>
      <c r="C9" s="31" t="s">
        <v>65</v>
      </c>
    </row>
    <row r="10" spans="1:36" x14ac:dyDescent="0.75">
      <c r="A10" s="30" t="s">
        <v>61</v>
      </c>
      <c r="E10" s="26" t="s">
        <v>71</v>
      </c>
      <c r="F10" s="17" t="str">
        <f>IF(OR(TEXT(F$13,"ddd")="Sun",F$13=""),"",COUNTIF(F14:F300,1))</f>
        <v/>
      </c>
      <c r="G10" s="17">
        <f t="shared" ref="G10:AJ10" si="0">IF(OR(TEXT(G$13,"ddd")="Sun",G$13=""),"",COUNTIF(G14:G300,1))</f>
        <v>14</v>
      </c>
      <c r="H10" s="17">
        <f t="shared" si="0"/>
        <v>15</v>
      </c>
      <c r="I10" s="17">
        <f t="shared" si="0"/>
        <v>15</v>
      </c>
      <c r="J10" s="17">
        <f t="shared" si="0"/>
        <v>15</v>
      </c>
      <c r="K10" s="17">
        <f t="shared" si="0"/>
        <v>15</v>
      </c>
      <c r="L10" s="17">
        <f t="shared" si="0"/>
        <v>14</v>
      </c>
      <c r="M10" s="17" t="str">
        <f t="shared" si="0"/>
        <v/>
      </c>
      <c r="N10" s="17">
        <f t="shared" si="0"/>
        <v>14</v>
      </c>
      <c r="O10" s="17">
        <f t="shared" si="0"/>
        <v>14</v>
      </c>
      <c r="P10" s="17">
        <f t="shared" si="0"/>
        <v>14</v>
      </c>
      <c r="Q10" s="17">
        <f t="shared" si="0"/>
        <v>15</v>
      </c>
      <c r="R10" s="17">
        <f t="shared" si="0"/>
        <v>15</v>
      </c>
      <c r="S10" s="17">
        <f t="shared" si="0"/>
        <v>14</v>
      </c>
      <c r="T10" s="17" t="str">
        <f t="shared" si="0"/>
        <v/>
      </c>
      <c r="U10" s="17">
        <f t="shared" si="0"/>
        <v>14</v>
      </c>
      <c r="V10" s="17">
        <f t="shared" si="0"/>
        <v>14</v>
      </c>
      <c r="W10" s="17">
        <f t="shared" si="0"/>
        <v>13</v>
      </c>
      <c r="X10" s="17">
        <f t="shared" si="0"/>
        <v>14</v>
      </c>
      <c r="Y10" s="17">
        <f t="shared" si="0"/>
        <v>14</v>
      </c>
      <c r="Z10" s="17">
        <f t="shared" si="0"/>
        <v>14</v>
      </c>
      <c r="AA10" s="17" t="str">
        <f t="shared" si="0"/>
        <v/>
      </c>
      <c r="AB10" s="17">
        <f t="shared" si="0"/>
        <v>13</v>
      </c>
      <c r="AC10" s="17">
        <f t="shared" si="0"/>
        <v>15</v>
      </c>
      <c r="AD10" s="17">
        <f t="shared" si="0"/>
        <v>15</v>
      </c>
      <c r="AE10" s="17">
        <f t="shared" si="0"/>
        <v>14</v>
      </c>
      <c r="AF10" s="17">
        <f t="shared" si="0"/>
        <v>15</v>
      </c>
      <c r="AG10" s="17">
        <f t="shared" si="0"/>
        <v>14</v>
      </c>
      <c r="AH10" s="17" t="str">
        <f t="shared" si="0"/>
        <v/>
      </c>
      <c r="AI10" s="17">
        <f t="shared" si="0"/>
        <v>14</v>
      </c>
      <c r="AJ10" s="17" t="str">
        <f t="shared" si="0"/>
        <v/>
      </c>
    </row>
    <row r="11" spans="1:36" x14ac:dyDescent="0.75">
      <c r="A11" s="30" t="s">
        <v>62</v>
      </c>
      <c r="E11" s="26" t="s">
        <v>70</v>
      </c>
      <c r="F11" s="17" t="str">
        <f>IF(OR(TEXT(F$13,"ddd")="Sun",F$13=""),"",COUNTIF(F14:F301,0))</f>
        <v/>
      </c>
      <c r="G11" s="17">
        <f t="shared" ref="G11:AI11" si="1">IF(OR(TEXT(G$13,"ddd")="Sun",G$13=""),"",COUNTIF(G14:G301,0))</f>
        <v>1</v>
      </c>
      <c r="H11" s="17">
        <f t="shared" si="1"/>
        <v>0</v>
      </c>
      <c r="I11" s="17">
        <f t="shared" si="1"/>
        <v>0</v>
      </c>
      <c r="J11" s="17">
        <f t="shared" si="1"/>
        <v>0</v>
      </c>
      <c r="K11" s="17">
        <f t="shared" si="1"/>
        <v>0</v>
      </c>
      <c r="L11" s="17">
        <f t="shared" si="1"/>
        <v>1</v>
      </c>
      <c r="M11" s="17" t="str">
        <f t="shared" si="1"/>
        <v/>
      </c>
      <c r="N11" s="17">
        <f t="shared" si="1"/>
        <v>1</v>
      </c>
      <c r="O11" s="17">
        <f t="shared" si="1"/>
        <v>1</v>
      </c>
      <c r="P11" s="17">
        <f t="shared" si="1"/>
        <v>1</v>
      </c>
      <c r="Q11" s="17">
        <f t="shared" si="1"/>
        <v>0</v>
      </c>
      <c r="R11" s="17">
        <f t="shared" si="1"/>
        <v>0</v>
      </c>
      <c r="S11" s="17">
        <f t="shared" si="1"/>
        <v>1</v>
      </c>
      <c r="T11" s="17" t="str">
        <f t="shared" si="1"/>
        <v/>
      </c>
      <c r="U11" s="17">
        <f t="shared" si="1"/>
        <v>1</v>
      </c>
      <c r="V11" s="17">
        <f t="shared" si="1"/>
        <v>1</v>
      </c>
      <c r="W11" s="17">
        <f t="shared" si="1"/>
        <v>2</v>
      </c>
      <c r="X11" s="17">
        <f t="shared" si="1"/>
        <v>1</v>
      </c>
      <c r="Y11" s="17">
        <f t="shared" si="1"/>
        <v>1</v>
      </c>
      <c r="Z11" s="17">
        <f t="shared" si="1"/>
        <v>1</v>
      </c>
      <c r="AA11" s="17" t="str">
        <f t="shared" si="1"/>
        <v/>
      </c>
      <c r="AB11" s="17">
        <f t="shared" si="1"/>
        <v>2</v>
      </c>
      <c r="AC11" s="17">
        <f t="shared" si="1"/>
        <v>0</v>
      </c>
      <c r="AD11" s="17">
        <f t="shared" si="1"/>
        <v>0</v>
      </c>
      <c r="AE11" s="17">
        <f t="shared" si="1"/>
        <v>1</v>
      </c>
      <c r="AF11" s="17">
        <f t="shared" si="1"/>
        <v>0</v>
      </c>
      <c r="AG11" s="17">
        <f t="shared" si="1"/>
        <v>1</v>
      </c>
      <c r="AH11" s="17" t="str">
        <f t="shared" si="1"/>
        <v/>
      </c>
      <c r="AI11" s="17">
        <f t="shared" si="1"/>
        <v>1</v>
      </c>
      <c r="AJ11" s="17" t="str">
        <f t="shared" ref="AJ11" si="2">IF(OR(TEXT(AJ$13,"ddd")="Sun",AJ$13=""),"",COUNTIF(AJ15:AJ301,0))</f>
        <v/>
      </c>
    </row>
    <row r="12" spans="1:36" x14ac:dyDescent="0.75">
      <c r="A12" s="30" t="s">
        <v>63</v>
      </c>
      <c r="F12" s="7">
        <v>44652</v>
      </c>
      <c r="G12" s="7">
        <v>44653</v>
      </c>
      <c r="H12" s="7">
        <v>44654</v>
      </c>
      <c r="I12" s="7">
        <v>44655</v>
      </c>
      <c r="J12" s="7">
        <v>44656</v>
      </c>
      <c r="K12" s="7">
        <v>44657</v>
      </c>
      <c r="L12" s="7">
        <v>44658</v>
      </c>
      <c r="M12" s="7">
        <v>44659</v>
      </c>
      <c r="N12" s="7">
        <v>44660</v>
      </c>
      <c r="O12" s="7">
        <v>44661</v>
      </c>
      <c r="P12" s="7">
        <v>44662</v>
      </c>
      <c r="Q12" s="7">
        <v>44663</v>
      </c>
      <c r="R12" s="7">
        <v>44664</v>
      </c>
      <c r="S12" s="7">
        <v>44665</v>
      </c>
      <c r="T12" s="7">
        <v>44666</v>
      </c>
      <c r="U12" s="7">
        <v>44667</v>
      </c>
      <c r="V12" s="7">
        <v>44668</v>
      </c>
      <c r="W12" s="7">
        <v>44669</v>
      </c>
      <c r="X12" s="7">
        <v>44670</v>
      </c>
      <c r="Y12" s="7">
        <v>44671</v>
      </c>
      <c r="Z12" s="7">
        <v>44672</v>
      </c>
      <c r="AA12" s="7">
        <v>44673</v>
      </c>
      <c r="AB12" s="7">
        <v>44674</v>
      </c>
      <c r="AC12" s="7">
        <v>44675</v>
      </c>
      <c r="AD12" s="7">
        <v>44676</v>
      </c>
      <c r="AE12" s="7">
        <v>44677</v>
      </c>
      <c r="AF12" s="7">
        <v>44678</v>
      </c>
      <c r="AG12" s="7">
        <v>44679</v>
      </c>
      <c r="AH12" s="7">
        <v>44680</v>
      </c>
      <c r="AI12" s="7">
        <v>44681</v>
      </c>
      <c r="AJ12" s="8"/>
    </row>
    <row r="13" spans="1:36" s="25" customFormat="1" x14ac:dyDescent="0.75">
      <c r="A13"/>
      <c r="B13" s="18" t="s">
        <v>42</v>
      </c>
      <c r="C13" s="19" t="s">
        <v>10</v>
      </c>
      <c r="D13" s="19" t="s">
        <v>11</v>
      </c>
      <c r="E13" s="47" t="s">
        <v>49</v>
      </c>
      <c r="F13" s="11">
        <f t="shared" ref="F13" si="3">DAY(F12)</f>
        <v>1</v>
      </c>
      <c r="G13" s="11">
        <f>DAY(G12)</f>
        <v>2</v>
      </c>
      <c r="H13" s="11">
        <f t="shared" ref="H13:AI13" si="4">DAY(H12)</f>
        <v>3</v>
      </c>
      <c r="I13" s="11">
        <f t="shared" si="4"/>
        <v>4</v>
      </c>
      <c r="J13" s="11">
        <f t="shared" si="4"/>
        <v>5</v>
      </c>
      <c r="K13" s="11">
        <f t="shared" si="4"/>
        <v>6</v>
      </c>
      <c r="L13" s="11">
        <f t="shared" si="4"/>
        <v>7</v>
      </c>
      <c r="M13" s="11">
        <f t="shared" si="4"/>
        <v>8</v>
      </c>
      <c r="N13" s="11">
        <f t="shared" si="4"/>
        <v>9</v>
      </c>
      <c r="O13" s="11">
        <f t="shared" si="4"/>
        <v>10</v>
      </c>
      <c r="P13" s="11">
        <f t="shared" si="4"/>
        <v>11</v>
      </c>
      <c r="Q13" s="11">
        <f t="shared" si="4"/>
        <v>12</v>
      </c>
      <c r="R13" s="11">
        <f t="shared" si="4"/>
        <v>13</v>
      </c>
      <c r="S13" s="11">
        <f t="shared" si="4"/>
        <v>14</v>
      </c>
      <c r="T13" s="11">
        <f t="shared" si="4"/>
        <v>15</v>
      </c>
      <c r="U13" s="11">
        <f t="shared" si="4"/>
        <v>16</v>
      </c>
      <c r="V13" s="11">
        <f t="shared" si="4"/>
        <v>17</v>
      </c>
      <c r="W13" s="11">
        <f t="shared" si="4"/>
        <v>18</v>
      </c>
      <c r="X13" s="11">
        <f t="shared" si="4"/>
        <v>19</v>
      </c>
      <c r="Y13" s="11">
        <f t="shared" si="4"/>
        <v>20</v>
      </c>
      <c r="Z13" s="11">
        <f t="shared" si="4"/>
        <v>21</v>
      </c>
      <c r="AA13" s="11">
        <f t="shared" si="4"/>
        <v>22</v>
      </c>
      <c r="AB13" s="11">
        <f t="shared" si="4"/>
        <v>23</v>
      </c>
      <c r="AC13" s="11">
        <f t="shared" si="4"/>
        <v>24</v>
      </c>
      <c r="AD13" s="11">
        <f t="shared" si="4"/>
        <v>25</v>
      </c>
      <c r="AE13" s="11">
        <f t="shared" si="4"/>
        <v>26</v>
      </c>
      <c r="AF13" s="11">
        <f t="shared" si="4"/>
        <v>27</v>
      </c>
      <c r="AG13" s="11">
        <f t="shared" si="4"/>
        <v>28</v>
      </c>
      <c r="AH13" s="11">
        <f t="shared" si="4"/>
        <v>29</v>
      </c>
      <c r="AI13" s="11">
        <f t="shared" si="4"/>
        <v>30</v>
      </c>
      <c r="AJ13" s="8"/>
    </row>
    <row r="14" spans="1:36" x14ac:dyDescent="0.75">
      <c r="B14" s="28">
        <v>1</v>
      </c>
      <c r="C14" s="20" t="s">
        <v>12</v>
      </c>
      <c r="D14" s="46" t="s">
        <v>13</v>
      </c>
      <c r="E14" s="42">
        <f>IF(D14="","",COUNTIF(F14:AJ14,1))</f>
        <v>19</v>
      </c>
      <c r="F14" s="17" t="str">
        <f>IF(OR(TEXT(F$13,"ddd")="Sun",F$13="",$D14=""),"",IF('Leave Planner'!D15="",1,0))</f>
        <v/>
      </c>
      <c r="G14" s="17">
        <f>IF(OR(TEXT(G$13,"ddd")="Sun",G$13="",$D14=""),"",IF('Leave Planner'!E15="",1,0))</f>
        <v>1</v>
      </c>
      <c r="H14" s="17">
        <f>IF(OR(TEXT(H$13,"ddd")="Sun",H$13="",$D14=""),"",IF('Leave Planner'!F15="",1,0))</f>
        <v>1</v>
      </c>
      <c r="I14" s="17">
        <f>IF(OR(TEXT(I$13,"ddd")="Sun",I$13="",$D14=""),"",IF('Leave Planner'!G15="",1,0))</f>
        <v>1</v>
      </c>
      <c r="J14" s="17">
        <f>IF(OR(TEXT(J$13,"ddd")="Sun",J$13="",$D14=""),"",IF('Leave Planner'!H15="",1,0))</f>
        <v>1</v>
      </c>
      <c r="K14" s="17">
        <f>IF(OR(TEXT(K$13,"ddd")="Sun",K$13="",$D14=""),"",IF('Leave Planner'!I15="",1,0))</f>
        <v>1</v>
      </c>
      <c r="L14" s="17">
        <f>IF(OR(TEXT(L$13,"ddd")="Sun",L$13="",$D14=""),"",IF('Leave Planner'!J15="",1,0))</f>
        <v>1</v>
      </c>
      <c r="M14" s="17" t="str">
        <f>IF(OR(TEXT(M$13,"ddd")="Sun",M$13="",$D14=""),"",IF('Leave Planner'!K15="",1,0))</f>
        <v/>
      </c>
      <c r="N14" s="17">
        <f>IF(OR(TEXT(N$13,"ddd")="Sun",N$13="",$D14=""),"",IF('Leave Planner'!L15="",1,0))</f>
        <v>1</v>
      </c>
      <c r="O14" s="17">
        <f>IF(OR(TEXT(O$13,"ddd")="Sun",O$13="",$D14=""),"",IF('Leave Planner'!M15="",1,0))</f>
        <v>1</v>
      </c>
      <c r="P14" s="17">
        <f>IF(OR(TEXT(P$13,"ddd")="Sun",P$13="",$D14=""),"",IF('Leave Planner'!N15="",1,0))</f>
        <v>1</v>
      </c>
      <c r="Q14" s="17">
        <f>IF(OR(TEXT(Q$13,"ddd")="Sun",Q$13="",$D14=""),"",IF('Leave Planner'!O15="",1,0))</f>
        <v>1</v>
      </c>
      <c r="R14" s="17">
        <f>IF(OR(TEXT(R$13,"ddd")="Sun",R$13="",$D14=""),"",IF('Leave Planner'!P15="",1,0))</f>
        <v>1</v>
      </c>
      <c r="S14" s="17">
        <f>IF(OR(TEXT(S$13,"ddd")="Sun",S$13="",$D14=""),"",IF('Leave Planner'!Q15="",1,0))</f>
        <v>1</v>
      </c>
      <c r="T14" s="17" t="str">
        <f>IF(OR(TEXT(T$13,"ddd")="Sun",T$13="",$D14=""),"",IF('Leave Planner'!R15="",1,0))</f>
        <v/>
      </c>
      <c r="U14" s="17">
        <f>IF(OR(TEXT(U$13,"ddd")="Sun",U$13="",$D14=""),"",IF('Leave Planner'!S15="",1,0))</f>
        <v>0</v>
      </c>
      <c r="V14" s="17">
        <f>IF(OR(TEXT(V$13,"ddd")="Sun",V$13="",$D14=""),"",IF('Leave Planner'!T15="",1,0))</f>
        <v>0</v>
      </c>
      <c r="W14" s="17">
        <f>IF(OR(TEXT(W$13,"ddd")="Sun",W$13="",$D14=""),"",IF('Leave Planner'!U15="",1,0))</f>
        <v>0</v>
      </c>
      <c r="X14" s="17">
        <f>IF(OR(TEXT(X$13,"ddd")="Sun",X$13="",$D14=""),"",IF('Leave Planner'!V15="",1,0))</f>
        <v>0</v>
      </c>
      <c r="Y14" s="17">
        <f>IF(OR(TEXT(Y$13,"ddd")="Sun",Y$13="",$D14=""),"",IF('Leave Planner'!W15="",1,0))</f>
        <v>0</v>
      </c>
      <c r="Z14" s="17">
        <f>IF(OR(TEXT(Z$13,"ddd")="Sun",Z$13="",$D14=""),"",IF('Leave Planner'!X15="",1,0))</f>
        <v>0</v>
      </c>
      <c r="AA14" s="17" t="str">
        <f>IF(OR(TEXT(AA$13,"ddd")="Sun",AA$13="",$D14=""),"",IF('Leave Planner'!Y15="",1,0))</f>
        <v/>
      </c>
      <c r="AB14" s="17">
        <f>IF(OR(TEXT(AB$13,"ddd")="Sun",AB$13="",$D14=""),"",IF('Leave Planner'!Z15="",1,0))</f>
        <v>1</v>
      </c>
      <c r="AC14" s="17">
        <f>IF(OR(TEXT(AC$13,"ddd")="Sun",AC$13="",$D14=""),"",IF('Leave Planner'!AA15="",1,0))</f>
        <v>1</v>
      </c>
      <c r="AD14" s="17">
        <f>IF(OR(TEXT(AD$13,"ddd")="Sun",AD$13="",$D14=""),"",IF('Leave Planner'!AB15="",1,0))</f>
        <v>1</v>
      </c>
      <c r="AE14" s="17">
        <f>IF(OR(TEXT(AE$13,"ddd")="Sun",AE$13="",$D14=""),"",IF('Leave Planner'!AC15="",1,0))</f>
        <v>1</v>
      </c>
      <c r="AF14" s="17">
        <f>IF(OR(TEXT(AF$13,"ddd")="Sun",AF$13="",$D14=""),"",IF('Leave Planner'!AD15="",1,0))</f>
        <v>1</v>
      </c>
      <c r="AG14" s="17">
        <f>IF(OR(TEXT(AG$13,"ddd")="Sun",AG$13="",$D14=""),"",IF('Leave Planner'!AE15="",1,0))</f>
        <v>1</v>
      </c>
      <c r="AH14" s="17" t="str">
        <f>IF(OR(TEXT(AH$13,"ddd")="Sun",AH$13="",$D14=""),"",IF('Leave Planner'!AF15="",1,0))</f>
        <v/>
      </c>
      <c r="AI14" s="17">
        <f>IF(OR(TEXT(AI$13,"ddd")="Sun",AI$13="",$D14=""),"",IF('Leave Planner'!AG15="",1,0))</f>
        <v>1</v>
      </c>
      <c r="AJ14" s="17" t="str">
        <f>IF(OR(TEXT(AJ$13,"ddd")="Sun",AJ$13="",$D14=""),"",IF('Leave Planner'!AH15="",1,0))</f>
        <v/>
      </c>
    </row>
    <row r="15" spans="1:36" x14ac:dyDescent="0.75">
      <c r="B15" s="16">
        <v>2</v>
      </c>
      <c r="C15" s="21" t="s">
        <v>14</v>
      </c>
      <c r="D15" s="41" t="s">
        <v>15</v>
      </c>
      <c r="E15" s="42">
        <f t="shared" ref="E15:E78" si="5">IF(D15="","",COUNTIF(F15:AJ15,1))</f>
        <v>24</v>
      </c>
      <c r="F15" s="17" t="str">
        <f>IF(OR(TEXT(F$13,"ddd")="Sun",F$13="",$D15=""),"",IF('Leave Planner'!D16="",1,0))</f>
        <v/>
      </c>
      <c r="G15" s="17">
        <f>IF(OR(TEXT(G$13,"ddd")="Sun",G$13="",$D15=""),"",IF('Leave Planner'!E16="",1,0))</f>
        <v>1</v>
      </c>
      <c r="H15" s="17">
        <f>IF(OR(TEXT(H$13,"ddd")="Sun",H$13="",$D15=""),"",IF('Leave Planner'!F16="",1,0))</f>
        <v>1</v>
      </c>
      <c r="I15" s="17">
        <f>IF(OR(TEXT(I$13,"ddd")="Sun",I$13="",$D15=""),"",IF('Leave Planner'!G16="",1,0))</f>
        <v>1</v>
      </c>
      <c r="J15" s="17">
        <f>IF(OR(TEXT(J$13,"ddd")="Sun",J$13="",$D15=""),"",IF('Leave Planner'!H16="",1,0))</f>
        <v>1</v>
      </c>
      <c r="K15" s="17">
        <f>IF(OR(TEXT(K$13,"ddd")="Sun",K$13="",$D15=""),"",IF('Leave Planner'!I16="",1,0))</f>
        <v>1</v>
      </c>
      <c r="L15" s="17">
        <f>IF(OR(TEXT(L$13,"ddd")="Sun",L$13="",$D15=""),"",IF('Leave Planner'!J16="",1,0))</f>
        <v>0</v>
      </c>
      <c r="M15" s="17" t="str">
        <f>IF(OR(TEXT(M$13,"ddd")="Sun",M$13="",$D15=""),"",IF('Leave Planner'!K16="",1,0))</f>
        <v/>
      </c>
      <c r="N15" s="17">
        <f>IF(OR(TEXT(N$13,"ddd")="Sun",N$13="",$D15=""),"",IF('Leave Planner'!L16="",1,0))</f>
        <v>1</v>
      </c>
      <c r="O15" s="17">
        <f>IF(OR(TEXT(O$13,"ddd")="Sun",O$13="",$D15=""),"",IF('Leave Planner'!M16="",1,0))</f>
        <v>1</v>
      </c>
      <c r="P15" s="17">
        <f>IF(OR(TEXT(P$13,"ddd")="Sun",P$13="",$D15=""),"",IF('Leave Planner'!N16="",1,0))</f>
        <v>1</v>
      </c>
      <c r="Q15" s="17">
        <f>IF(OR(TEXT(Q$13,"ddd")="Sun",Q$13="",$D15=""),"",IF('Leave Planner'!O16="",1,0))</f>
        <v>1</v>
      </c>
      <c r="R15" s="17">
        <f>IF(OR(TEXT(R$13,"ddd")="Sun",R$13="",$D15=""),"",IF('Leave Planner'!P16="",1,0))</f>
        <v>1</v>
      </c>
      <c r="S15" s="17">
        <f>IF(OR(TEXT(S$13,"ddd")="Sun",S$13="",$D15=""),"",IF('Leave Planner'!Q16="",1,0))</f>
        <v>1</v>
      </c>
      <c r="T15" s="17" t="str">
        <f>IF(OR(TEXT(T$13,"ddd")="Sun",T$13="",$D15=""),"",IF('Leave Planner'!R16="",1,0))</f>
        <v/>
      </c>
      <c r="U15" s="17">
        <f>IF(OR(TEXT(U$13,"ddd")="Sun",U$13="",$D15=""),"",IF('Leave Planner'!S16="",1,0))</f>
        <v>1</v>
      </c>
      <c r="V15" s="17">
        <f>IF(OR(TEXT(V$13,"ddd")="Sun",V$13="",$D15=""),"",IF('Leave Planner'!T16="",1,0))</f>
        <v>1</v>
      </c>
      <c r="W15" s="17">
        <f>IF(OR(TEXT(W$13,"ddd")="Sun",W$13="",$D15=""),"",IF('Leave Planner'!U16="",1,0))</f>
        <v>1</v>
      </c>
      <c r="X15" s="17">
        <f>IF(OR(TEXT(X$13,"ddd")="Sun",X$13="",$D15=""),"",IF('Leave Planner'!V16="",1,0))</f>
        <v>1</v>
      </c>
      <c r="Y15" s="17">
        <f>IF(OR(TEXT(Y$13,"ddd")="Sun",Y$13="",$D15=""),"",IF('Leave Planner'!W16="",1,0))</f>
        <v>1</v>
      </c>
      <c r="Z15" s="17">
        <f>IF(OR(TEXT(Z$13,"ddd")="Sun",Z$13="",$D15=""),"",IF('Leave Planner'!X16="",1,0))</f>
        <v>1</v>
      </c>
      <c r="AA15" s="17" t="str">
        <f>IF(OR(TEXT(AA$13,"ddd")="Sun",AA$13="",$D15=""),"",IF('Leave Planner'!Y16="",1,0))</f>
        <v/>
      </c>
      <c r="AB15" s="17">
        <f>IF(OR(TEXT(AB$13,"ddd")="Sun",AB$13="",$D15=""),"",IF('Leave Planner'!Z16="",1,0))</f>
        <v>1</v>
      </c>
      <c r="AC15" s="17">
        <f>IF(OR(TEXT(AC$13,"ddd")="Sun",AC$13="",$D15=""),"",IF('Leave Planner'!AA16="",1,0))</f>
        <v>1</v>
      </c>
      <c r="AD15" s="17">
        <f>IF(OR(TEXT(AD$13,"ddd")="Sun",AD$13="",$D15=""),"",IF('Leave Planner'!AB16="",1,0))</f>
        <v>1</v>
      </c>
      <c r="AE15" s="17">
        <f>IF(OR(TEXT(AE$13,"ddd")="Sun",AE$13="",$D15=""),"",IF('Leave Planner'!AC16="",1,0))</f>
        <v>1</v>
      </c>
      <c r="AF15" s="17">
        <f>IF(OR(TEXT(AF$13,"ddd")="Sun",AF$13="",$D15=""),"",IF('Leave Planner'!AD16="",1,0))</f>
        <v>1</v>
      </c>
      <c r="AG15" s="17">
        <f>IF(OR(TEXT(AG$13,"ddd")="Sun",AG$13="",$D15=""),"",IF('Leave Planner'!AE16="",1,0))</f>
        <v>1</v>
      </c>
      <c r="AH15" s="17" t="str">
        <f>IF(OR(TEXT(AH$13,"ddd")="Sun",AH$13="",$D15=""),"",IF('Leave Planner'!AF16="",1,0))</f>
        <v/>
      </c>
      <c r="AI15" s="17">
        <f>IF(OR(TEXT(AI$13,"ddd")="Sun",AI$13="",$D15=""),"",IF('Leave Planner'!AG16="",1,0))</f>
        <v>1</v>
      </c>
      <c r="AJ15" s="17" t="str">
        <f>IF(OR(TEXT(AJ$13,"ddd")="Sun",AJ$13="",$D15=""),"",IF('Leave Planner'!AH16="",1,0))</f>
        <v/>
      </c>
    </row>
    <row r="16" spans="1:36" x14ac:dyDescent="0.75">
      <c r="B16" s="16">
        <v>3</v>
      </c>
      <c r="C16" s="21" t="s">
        <v>16</v>
      </c>
      <c r="D16" s="22" t="s">
        <v>17</v>
      </c>
      <c r="E16" s="42">
        <f t="shared" si="5"/>
        <v>24</v>
      </c>
      <c r="F16" s="17" t="str">
        <f>IF(OR(TEXT(F$13,"ddd")="Sun",F$13="",$D16=""),"",IF('Leave Planner'!D17="",1,0))</f>
        <v/>
      </c>
      <c r="G16" s="17">
        <f>IF(OR(TEXT(G$13,"ddd")="Sun",G$13="",$D16=""),"",IF('Leave Planner'!E17="",1,0))</f>
        <v>1</v>
      </c>
      <c r="H16" s="17">
        <f>IF(OR(TEXT(H$13,"ddd")="Sun",H$13="",$D16=""),"",IF('Leave Planner'!F17="",1,0))</f>
        <v>1</v>
      </c>
      <c r="I16" s="17">
        <f>IF(OR(TEXT(I$13,"ddd")="Sun",I$13="",$D16=""),"",IF('Leave Planner'!G17="",1,0))</f>
        <v>1</v>
      </c>
      <c r="J16" s="17">
        <f>IF(OR(TEXT(J$13,"ddd")="Sun",J$13="",$D16=""),"",IF('Leave Planner'!H17="",1,0))</f>
        <v>1</v>
      </c>
      <c r="K16" s="17">
        <f>IF(OR(TEXT(K$13,"ddd")="Sun",K$13="",$D16=""),"",IF('Leave Planner'!I17="",1,0))</f>
        <v>1</v>
      </c>
      <c r="L16" s="17">
        <f>IF(OR(TEXT(L$13,"ddd")="Sun",L$13="",$D16=""),"",IF('Leave Planner'!J17="",1,0))</f>
        <v>1</v>
      </c>
      <c r="M16" s="17" t="str">
        <f>IF(OR(TEXT(M$13,"ddd")="Sun",M$13="",$D16=""),"",IF('Leave Planner'!K17="",1,0))</f>
        <v/>
      </c>
      <c r="N16" s="17">
        <f>IF(OR(TEXT(N$13,"ddd")="Sun",N$13="",$D16=""),"",IF('Leave Planner'!L17="",1,0))</f>
        <v>1</v>
      </c>
      <c r="O16" s="17">
        <f>IF(OR(TEXT(O$13,"ddd")="Sun",O$13="",$D16=""),"",IF('Leave Planner'!M17="",1,0))</f>
        <v>1</v>
      </c>
      <c r="P16" s="17">
        <f>IF(OR(TEXT(P$13,"ddd")="Sun",P$13="",$D16=""),"",IF('Leave Planner'!N17="",1,0))</f>
        <v>1</v>
      </c>
      <c r="Q16" s="17">
        <f>IF(OR(TEXT(Q$13,"ddd")="Sun",Q$13="",$D16=""),"",IF('Leave Planner'!O17="",1,0))</f>
        <v>1</v>
      </c>
      <c r="R16" s="17">
        <f>IF(OR(TEXT(R$13,"ddd")="Sun",R$13="",$D16=""),"",IF('Leave Planner'!P17="",1,0))</f>
        <v>1</v>
      </c>
      <c r="S16" s="17">
        <f>IF(OR(TEXT(S$13,"ddd")="Sun",S$13="",$D16=""),"",IF('Leave Planner'!Q17="",1,0))</f>
        <v>1</v>
      </c>
      <c r="T16" s="17" t="str">
        <f>IF(OR(TEXT(T$13,"ddd")="Sun",T$13="",$D16=""),"",IF('Leave Planner'!R17="",1,0))</f>
        <v/>
      </c>
      <c r="U16" s="17">
        <f>IF(OR(TEXT(U$13,"ddd")="Sun",U$13="",$D16=""),"",IF('Leave Planner'!S17="",1,0))</f>
        <v>1</v>
      </c>
      <c r="V16" s="17">
        <f>IF(OR(TEXT(V$13,"ddd")="Sun",V$13="",$D16=""),"",IF('Leave Planner'!T17="",1,0))</f>
        <v>1</v>
      </c>
      <c r="W16" s="17">
        <f>IF(OR(TEXT(W$13,"ddd")="Sun",W$13="",$D16=""),"",IF('Leave Planner'!U17="",1,0))</f>
        <v>1</v>
      </c>
      <c r="X16" s="17">
        <f>IF(OR(TEXT(X$13,"ddd")="Sun",X$13="",$D16=""),"",IF('Leave Planner'!V17="",1,0))</f>
        <v>1</v>
      </c>
      <c r="Y16" s="17">
        <f>IF(OR(TEXT(Y$13,"ddd")="Sun",Y$13="",$D16=""),"",IF('Leave Planner'!W17="",1,0))</f>
        <v>1</v>
      </c>
      <c r="Z16" s="17">
        <f>IF(OR(TEXT(Z$13,"ddd")="Sun",Z$13="",$D16=""),"",IF('Leave Planner'!X17="",1,0))</f>
        <v>1</v>
      </c>
      <c r="AA16" s="17" t="str">
        <f>IF(OR(TEXT(AA$13,"ddd")="Sun",AA$13="",$D16=""),"",IF('Leave Planner'!Y17="",1,0))</f>
        <v/>
      </c>
      <c r="AB16" s="17">
        <f>IF(OR(TEXT(AB$13,"ddd")="Sun",AB$13="",$D16=""),"",IF('Leave Planner'!Z17="",1,0))</f>
        <v>1</v>
      </c>
      <c r="AC16" s="17">
        <f>IF(OR(TEXT(AC$13,"ddd")="Sun",AC$13="",$D16=""),"",IF('Leave Planner'!AA17="",1,0))</f>
        <v>1</v>
      </c>
      <c r="AD16" s="17">
        <f>IF(OR(TEXT(AD$13,"ddd")="Sun",AD$13="",$D16=""),"",IF('Leave Planner'!AB17="",1,0))</f>
        <v>1</v>
      </c>
      <c r="AE16" s="17">
        <f>IF(OR(TEXT(AE$13,"ddd")="Sun",AE$13="",$D16=""),"",IF('Leave Planner'!AC17="",1,0))</f>
        <v>1</v>
      </c>
      <c r="AF16" s="17">
        <f>IF(OR(TEXT(AF$13,"ddd")="Sun",AF$13="",$D16=""),"",IF('Leave Planner'!AD17="",1,0))</f>
        <v>1</v>
      </c>
      <c r="AG16" s="17">
        <f>IF(OR(TEXT(AG$13,"ddd")="Sun",AG$13="",$D16=""),"",IF('Leave Planner'!AE17="",1,0))</f>
        <v>1</v>
      </c>
      <c r="AH16" s="17" t="str">
        <f>IF(OR(TEXT(AH$13,"ddd")="Sun",AH$13="",$D16=""),"",IF('Leave Planner'!AF17="",1,0))</f>
        <v/>
      </c>
      <c r="AI16" s="17">
        <f>IF(OR(TEXT(AI$13,"ddd")="Sun",AI$13="",$D16=""),"",IF('Leave Planner'!AG17="",1,0))</f>
        <v>0</v>
      </c>
      <c r="AJ16" s="17" t="str">
        <f>IF(OR(TEXT(AJ$13,"ddd")="Sun",AJ$13="",$D16=""),"",IF('Leave Planner'!AH17="",1,0))</f>
        <v/>
      </c>
    </row>
    <row r="17" spans="2:36" x14ac:dyDescent="0.75">
      <c r="B17" s="16">
        <v>4</v>
      </c>
      <c r="C17" s="21" t="s">
        <v>18</v>
      </c>
      <c r="D17" s="22" t="s">
        <v>19</v>
      </c>
      <c r="E17" s="42">
        <f t="shared" si="5"/>
        <v>24</v>
      </c>
      <c r="F17" s="17" t="str">
        <f>IF(OR(TEXT(F$13,"ddd")="Sun",F$13="",$D17=""),"",IF('Leave Planner'!D18="",1,0))</f>
        <v/>
      </c>
      <c r="G17" s="17">
        <f>IF(OR(TEXT(G$13,"ddd")="Sun",G$13="",$D17=""),"",IF('Leave Planner'!E18="",1,0))</f>
        <v>1</v>
      </c>
      <c r="H17" s="17">
        <f>IF(OR(TEXT(H$13,"ddd")="Sun",H$13="",$D17=""),"",IF('Leave Planner'!F18="",1,0))</f>
        <v>1</v>
      </c>
      <c r="I17" s="17">
        <f>IF(OR(TEXT(I$13,"ddd")="Sun",I$13="",$D17=""),"",IF('Leave Planner'!G18="",1,0))</f>
        <v>1</v>
      </c>
      <c r="J17" s="17">
        <f>IF(OR(TEXT(J$13,"ddd")="Sun",J$13="",$D17=""),"",IF('Leave Planner'!H18="",1,0))</f>
        <v>1</v>
      </c>
      <c r="K17" s="17">
        <f>IF(OR(TEXT(K$13,"ddd")="Sun",K$13="",$D17=""),"",IF('Leave Planner'!I18="",1,0))</f>
        <v>1</v>
      </c>
      <c r="L17" s="17">
        <f>IF(OR(TEXT(L$13,"ddd")="Sun",L$13="",$D17=""),"",IF('Leave Planner'!J18="",1,0))</f>
        <v>1</v>
      </c>
      <c r="M17" s="17" t="str">
        <f>IF(OR(TEXT(M$13,"ddd")="Sun",M$13="",$D17=""),"",IF('Leave Planner'!K18="",1,0))</f>
        <v/>
      </c>
      <c r="N17" s="17">
        <f>IF(OR(TEXT(N$13,"ddd")="Sun",N$13="",$D17=""),"",IF('Leave Planner'!L18="",1,0))</f>
        <v>1</v>
      </c>
      <c r="O17" s="17">
        <f>IF(OR(TEXT(O$13,"ddd")="Sun",O$13="",$D17=""),"",IF('Leave Planner'!M18="",1,0))</f>
        <v>1</v>
      </c>
      <c r="P17" s="17">
        <f>IF(OR(TEXT(P$13,"ddd")="Sun",P$13="",$D17=""),"",IF('Leave Planner'!N18="",1,0))</f>
        <v>1</v>
      </c>
      <c r="Q17" s="17">
        <f>IF(OR(TEXT(Q$13,"ddd")="Sun",Q$13="",$D17=""),"",IF('Leave Planner'!O18="",1,0))</f>
        <v>1</v>
      </c>
      <c r="R17" s="17">
        <f>IF(OR(TEXT(R$13,"ddd")="Sun",R$13="",$D17=""),"",IF('Leave Planner'!P18="",1,0))</f>
        <v>1</v>
      </c>
      <c r="S17" s="17">
        <f>IF(OR(TEXT(S$13,"ddd")="Sun",S$13="",$D17=""),"",IF('Leave Planner'!Q18="",1,0))</f>
        <v>1</v>
      </c>
      <c r="T17" s="17" t="str">
        <f>IF(OR(TEXT(T$13,"ddd")="Sun",T$13="",$D17=""),"",IF('Leave Planner'!R18="",1,0))</f>
        <v/>
      </c>
      <c r="U17" s="17">
        <f>IF(OR(TEXT(U$13,"ddd")="Sun",U$13="",$D17=""),"",IF('Leave Planner'!S18="",1,0))</f>
        <v>1</v>
      </c>
      <c r="V17" s="17">
        <f>IF(OR(TEXT(V$13,"ddd")="Sun",V$13="",$D17=""),"",IF('Leave Planner'!T18="",1,0))</f>
        <v>1</v>
      </c>
      <c r="W17" s="17">
        <f>IF(OR(TEXT(W$13,"ddd")="Sun",W$13="",$D17=""),"",IF('Leave Planner'!U18="",1,0))</f>
        <v>1</v>
      </c>
      <c r="X17" s="17">
        <f>IF(OR(TEXT(X$13,"ddd")="Sun",X$13="",$D17=""),"",IF('Leave Planner'!V18="",1,0))</f>
        <v>1</v>
      </c>
      <c r="Y17" s="17">
        <f>IF(OR(TEXT(Y$13,"ddd")="Sun",Y$13="",$D17=""),"",IF('Leave Planner'!W18="",1,0))</f>
        <v>1</v>
      </c>
      <c r="Z17" s="17">
        <f>IF(OR(TEXT(Z$13,"ddd")="Sun",Z$13="",$D17=""),"",IF('Leave Planner'!X18="",1,0))</f>
        <v>1</v>
      </c>
      <c r="AA17" s="17" t="str">
        <f>IF(OR(TEXT(AA$13,"ddd")="Sun",AA$13="",$D17=""),"",IF('Leave Planner'!Y18="",1,0))</f>
        <v/>
      </c>
      <c r="AB17" s="17">
        <f>IF(OR(TEXT(AB$13,"ddd")="Sun",AB$13="",$D17=""),"",IF('Leave Planner'!Z18="",1,0))</f>
        <v>0</v>
      </c>
      <c r="AC17" s="17">
        <f>IF(OR(TEXT(AC$13,"ddd")="Sun",AC$13="",$D17=""),"",IF('Leave Planner'!AA18="",1,0))</f>
        <v>1</v>
      </c>
      <c r="AD17" s="17">
        <f>IF(OR(TEXT(AD$13,"ddd")="Sun",AD$13="",$D17=""),"",IF('Leave Planner'!AB18="",1,0))</f>
        <v>1</v>
      </c>
      <c r="AE17" s="17">
        <f>IF(OR(TEXT(AE$13,"ddd")="Sun",AE$13="",$D17=""),"",IF('Leave Planner'!AC18="",1,0))</f>
        <v>1</v>
      </c>
      <c r="AF17" s="17">
        <f>IF(OR(TEXT(AF$13,"ddd")="Sun",AF$13="",$D17=""),"",IF('Leave Planner'!AD18="",1,0))</f>
        <v>1</v>
      </c>
      <c r="AG17" s="17">
        <f>IF(OR(TEXT(AG$13,"ddd")="Sun",AG$13="",$D17=""),"",IF('Leave Planner'!AE18="",1,0))</f>
        <v>1</v>
      </c>
      <c r="AH17" s="17" t="str">
        <f>IF(OR(TEXT(AH$13,"ddd")="Sun",AH$13="",$D17=""),"",IF('Leave Planner'!AF18="",1,0))</f>
        <v/>
      </c>
      <c r="AI17" s="17">
        <f>IF(OR(TEXT(AI$13,"ddd")="Sun",AI$13="",$D17=""),"",IF('Leave Planner'!AG18="",1,0))</f>
        <v>1</v>
      </c>
      <c r="AJ17" s="17" t="str">
        <f>IF(OR(TEXT(AJ$13,"ddd")="Sun",AJ$13="",$D17=""),"",IF('Leave Planner'!AH18="",1,0))</f>
        <v/>
      </c>
    </row>
    <row r="18" spans="2:36" x14ac:dyDescent="0.75">
      <c r="B18" s="16">
        <v>5</v>
      </c>
      <c r="C18" s="21" t="s">
        <v>20</v>
      </c>
      <c r="D18" s="22" t="s">
        <v>21</v>
      </c>
      <c r="E18" s="42">
        <f t="shared" si="5"/>
        <v>24</v>
      </c>
      <c r="F18" s="17" t="str">
        <f>IF(OR(TEXT(F$13,"ddd")="Sun",F$13="",$D18=""),"",IF('Leave Planner'!D19="",1,0))</f>
        <v/>
      </c>
      <c r="G18" s="17">
        <f>IF(OR(TEXT(G$13,"ddd")="Sun",G$13="",$D18=""),"",IF('Leave Planner'!E19="",1,0))</f>
        <v>0</v>
      </c>
      <c r="H18" s="17">
        <f>IF(OR(TEXT(H$13,"ddd")="Sun",H$13="",$D18=""),"",IF('Leave Planner'!F19="",1,0))</f>
        <v>1</v>
      </c>
      <c r="I18" s="17">
        <f>IF(OR(TEXT(I$13,"ddd")="Sun",I$13="",$D18=""),"",IF('Leave Planner'!G19="",1,0))</f>
        <v>1</v>
      </c>
      <c r="J18" s="17">
        <f>IF(OR(TEXT(J$13,"ddd")="Sun",J$13="",$D18=""),"",IF('Leave Planner'!H19="",1,0))</f>
        <v>1</v>
      </c>
      <c r="K18" s="17">
        <f>IF(OR(TEXT(K$13,"ddd")="Sun",K$13="",$D18=""),"",IF('Leave Planner'!I19="",1,0))</f>
        <v>1</v>
      </c>
      <c r="L18" s="17">
        <f>IF(OR(TEXT(L$13,"ddd")="Sun",L$13="",$D18=""),"",IF('Leave Planner'!J19="",1,0))</f>
        <v>1</v>
      </c>
      <c r="M18" s="17" t="str">
        <f>IF(OR(TEXT(M$13,"ddd")="Sun",M$13="",$D18=""),"",IF('Leave Planner'!K19="",1,0))</f>
        <v/>
      </c>
      <c r="N18" s="17">
        <f>IF(OR(TEXT(N$13,"ddd")="Sun",N$13="",$D18=""),"",IF('Leave Planner'!L19="",1,0))</f>
        <v>1</v>
      </c>
      <c r="O18" s="17">
        <f>IF(OR(TEXT(O$13,"ddd")="Sun",O$13="",$D18=""),"",IF('Leave Planner'!M19="",1,0))</f>
        <v>1</v>
      </c>
      <c r="P18" s="17">
        <f>IF(OR(TEXT(P$13,"ddd")="Sun",P$13="",$D18=""),"",IF('Leave Planner'!N19="",1,0))</f>
        <v>1</v>
      </c>
      <c r="Q18" s="17">
        <f>IF(OR(TEXT(Q$13,"ddd")="Sun",Q$13="",$D18=""),"",IF('Leave Planner'!O19="",1,0))</f>
        <v>1</v>
      </c>
      <c r="R18" s="17">
        <f>IF(OR(TEXT(R$13,"ddd")="Sun",R$13="",$D18=""),"",IF('Leave Planner'!P19="",1,0))</f>
        <v>1</v>
      </c>
      <c r="S18" s="17">
        <f>IF(OR(TEXT(S$13,"ddd")="Sun",S$13="",$D18=""),"",IF('Leave Planner'!Q19="",1,0))</f>
        <v>1</v>
      </c>
      <c r="T18" s="17" t="str">
        <f>IF(OR(TEXT(T$13,"ddd")="Sun",T$13="",$D18=""),"",IF('Leave Planner'!R19="",1,0))</f>
        <v/>
      </c>
      <c r="U18" s="17">
        <f>IF(OR(TEXT(U$13,"ddd")="Sun",U$13="",$D18=""),"",IF('Leave Planner'!S19="",1,0))</f>
        <v>1</v>
      </c>
      <c r="V18" s="17">
        <f>IF(OR(TEXT(V$13,"ddd")="Sun",V$13="",$D18=""),"",IF('Leave Planner'!T19="",1,0))</f>
        <v>1</v>
      </c>
      <c r="W18" s="17">
        <f>IF(OR(TEXT(W$13,"ddd")="Sun",W$13="",$D18=""),"",IF('Leave Planner'!U19="",1,0))</f>
        <v>1</v>
      </c>
      <c r="X18" s="17">
        <f>IF(OR(TEXT(X$13,"ddd")="Sun",X$13="",$D18=""),"",IF('Leave Planner'!V19="",1,0))</f>
        <v>1</v>
      </c>
      <c r="Y18" s="17">
        <f>IF(OR(TEXT(Y$13,"ddd")="Sun",Y$13="",$D18=""),"",IF('Leave Planner'!W19="",1,0))</f>
        <v>1</v>
      </c>
      <c r="Z18" s="17">
        <f>IF(OR(TEXT(Z$13,"ddd")="Sun",Z$13="",$D18=""),"",IF('Leave Planner'!X19="",1,0))</f>
        <v>1</v>
      </c>
      <c r="AA18" s="17" t="str">
        <f>IF(OR(TEXT(AA$13,"ddd")="Sun",AA$13="",$D18=""),"",IF('Leave Planner'!Y19="",1,0))</f>
        <v/>
      </c>
      <c r="AB18" s="17">
        <f>IF(OR(TEXT(AB$13,"ddd")="Sun",AB$13="",$D18=""),"",IF('Leave Planner'!Z19="",1,0))</f>
        <v>1</v>
      </c>
      <c r="AC18" s="17">
        <f>IF(OR(TEXT(AC$13,"ddd")="Sun",AC$13="",$D18=""),"",IF('Leave Planner'!AA19="",1,0))</f>
        <v>1</v>
      </c>
      <c r="AD18" s="17">
        <f>IF(OR(TEXT(AD$13,"ddd")="Sun",AD$13="",$D18=""),"",IF('Leave Planner'!AB19="",1,0))</f>
        <v>1</v>
      </c>
      <c r="AE18" s="17">
        <f>IF(OR(TEXT(AE$13,"ddd")="Sun",AE$13="",$D18=""),"",IF('Leave Planner'!AC19="",1,0))</f>
        <v>1</v>
      </c>
      <c r="AF18" s="17">
        <f>IF(OR(TEXT(AF$13,"ddd")="Sun",AF$13="",$D18=""),"",IF('Leave Planner'!AD19="",1,0))</f>
        <v>1</v>
      </c>
      <c r="AG18" s="17">
        <f>IF(OR(TEXT(AG$13,"ddd")="Sun",AG$13="",$D18=""),"",IF('Leave Planner'!AE19="",1,0))</f>
        <v>1</v>
      </c>
      <c r="AH18" s="17" t="str">
        <f>IF(OR(TEXT(AH$13,"ddd")="Sun",AH$13="",$D18=""),"",IF('Leave Planner'!AF19="",1,0))</f>
        <v/>
      </c>
      <c r="AI18" s="17">
        <f>IF(OR(TEXT(AI$13,"ddd")="Sun",AI$13="",$D18=""),"",IF('Leave Planner'!AG19="",1,0))</f>
        <v>1</v>
      </c>
      <c r="AJ18" s="17" t="str">
        <f>IF(OR(TEXT(AJ$13,"ddd")="Sun",AJ$13="",$D18=""),"",IF('Leave Planner'!AH19="",1,0))</f>
        <v/>
      </c>
    </row>
    <row r="19" spans="2:36" x14ac:dyDescent="0.75">
      <c r="B19" s="16">
        <v>6</v>
      </c>
      <c r="C19" s="21" t="s">
        <v>22</v>
      </c>
      <c r="D19" s="22" t="s">
        <v>23</v>
      </c>
      <c r="E19" s="42">
        <f t="shared" si="5"/>
        <v>24</v>
      </c>
      <c r="F19" s="17" t="str">
        <f>IF(OR(TEXT(F$13,"ddd")="Sun",F$13="",$D19=""),"",IF('Leave Planner'!D20="",1,0))</f>
        <v/>
      </c>
      <c r="G19" s="17">
        <f>IF(OR(TEXT(G$13,"ddd")="Sun",G$13="",$D19=""),"",IF('Leave Planner'!E20="",1,0))</f>
        <v>1</v>
      </c>
      <c r="H19" s="17">
        <f>IF(OR(TEXT(H$13,"ddd")="Sun",H$13="",$D19=""),"",IF('Leave Planner'!F20="",1,0))</f>
        <v>1</v>
      </c>
      <c r="I19" s="17">
        <f>IF(OR(TEXT(I$13,"ddd")="Sun",I$13="",$D19=""),"",IF('Leave Planner'!G20="",1,0))</f>
        <v>1</v>
      </c>
      <c r="J19" s="17">
        <f>IF(OR(TEXT(J$13,"ddd")="Sun",J$13="",$D19=""),"",IF('Leave Planner'!H20="",1,0))</f>
        <v>1</v>
      </c>
      <c r="K19" s="17">
        <f>IF(OR(TEXT(K$13,"ddd")="Sun",K$13="",$D19=""),"",IF('Leave Planner'!I20="",1,0))</f>
        <v>1</v>
      </c>
      <c r="L19" s="17">
        <f>IF(OR(TEXT(L$13,"ddd")="Sun",L$13="",$D19=""),"",IF('Leave Planner'!J20="",1,0))</f>
        <v>1</v>
      </c>
      <c r="M19" s="17" t="str">
        <f>IF(OR(TEXT(M$13,"ddd")="Sun",M$13="",$D19=""),"",IF('Leave Planner'!K20="",1,0))</f>
        <v/>
      </c>
      <c r="N19" s="17">
        <f>IF(OR(TEXT(N$13,"ddd")="Sun",N$13="",$D19=""),"",IF('Leave Planner'!L20="",1,0))</f>
        <v>1</v>
      </c>
      <c r="O19" s="17">
        <f>IF(OR(TEXT(O$13,"ddd")="Sun",O$13="",$D19=""),"",IF('Leave Planner'!M20="",1,0))</f>
        <v>1</v>
      </c>
      <c r="P19" s="17">
        <f>IF(OR(TEXT(P$13,"ddd")="Sun",P$13="",$D19=""),"",IF('Leave Planner'!N20="",1,0))</f>
        <v>1</v>
      </c>
      <c r="Q19" s="17">
        <f>IF(OR(TEXT(Q$13,"ddd")="Sun",Q$13="",$D19=""),"",IF('Leave Planner'!O20="",1,0))</f>
        <v>1</v>
      </c>
      <c r="R19" s="17">
        <f>IF(OR(TEXT(R$13,"ddd")="Sun",R$13="",$D19=""),"",IF('Leave Planner'!P20="",1,0))</f>
        <v>1</v>
      </c>
      <c r="S19" s="17">
        <f>IF(OR(TEXT(S$13,"ddd")="Sun",S$13="",$D19=""),"",IF('Leave Planner'!Q20="",1,0))</f>
        <v>1</v>
      </c>
      <c r="T19" s="17" t="str">
        <f>IF(OR(TEXT(T$13,"ddd")="Sun",T$13="",$D19=""),"",IF('Leave Planner'!R20="",1,0))</f>
        <v/>
      </c>
      <c r="U19" s="17">
        <f>IF(OR(TEXT(U$13,"ddd")="Sun",U$13="",$D19=""),"",IF('Leave Planner'!S20="",1,0))</f>
        <v>1</v>
      </c>
      <c r="V19" s="17">
        <f>IF(OR(TEXT(V$13,"ddd")="Sun",V$13="",$D19=""),"",IF('Leave Planner'!T20="",1,0))</f>
        <v>1</v>
      </c>
      <c r="W19" s="17">
        <f>IF(OR(TEXT(W$13,"ddd")="Sun",W$13="",$D19=""),"",IF('Leave Planner'!U20="",1,0))</f>
        <v>0</v>
      </c>
      <c r="X19" s="17">
        <f>IF(OR(TEXT(X$13,"ddd")="Sun",X$13="",$D19=""),"",IF('Leave Planner'!V20="",1,0))</f>
        <v>1</v>
      </c>
      <c r="Y19" s="17">
        <f>IF(OR(TEXT(Y$13,"ddd")="Sun",Y$13="",$D19=""),"",IF('Leave Planner'!W20="",1,0))</f>
        <v>1</v>
      </c>
      <c r="Z19" s="17">
        <f>IF(OR(TEXT(Z$13,"ddd")="Sun",Z$13="",$D19=""),"",IF('Leave Planner'!X20="",1,0))</f>
        <v>1</v>
      </c>
      <c r="AA19" s="17" t="str">
        <f>IF(OR(TEXT(AA$13,"ddd")="Sun",AA$13="",$D19=""),"",IF('Leave Planner'!Y20="",1,0))</f>
        <v/>
      </c>
      <c r="AB19" s="17">
        <f>IF(OR(TEXT(AB$13,"ddd")="Sun",AB$13="",$D19=""),"",IF('Leave Planner'!Z20="",1,0))</f>
        <v>1</v>
      </c>
      <c r="AC19" s="17">
        <f>IF(OR(TEXT(AC$13,"ddd")="Sun",AC$13="",$D19=""),"",IF('Leave Planner'!AA20="",1,0))</f>
        <v>1</v>
      </c>
      <c r="AD19" s="17">
        <f>IF(OR(TEXT(AD$13,"ddd")="Sun",AD$13="",$D19=""),"",IF('Leave Planner'!AB20="",1,0))</f>
        <v>1</v>
      </c>
      <c r="AE19" s="17">
        <f>IF(OR(TEXT(AE$13,"ddd")="Sun",AE$13="",$D19=""),"",IF('Leave Planner'!AC20="",1,0))</f>
        <v>1</v>
      </c>
      <c r="AF19" s="17">
        <f>IF(OR(TEXT(AF$13,"ddd")="Sun",AF$13="",$D19=""),"",IF('Leave Planner'!AD20="",1,0))</f>
        <v>1</v>
      </c>
      <c r="AG19" s="17">
        <f>IF(OR(TEXT(AG$13,"ddd")="Sun",AG$13="",$D19=""),"",IF('Leave Planner'!AE20="",1,0))</f>
        <v>1</v>
      </c>
      <c r="AH19" s="17" t="str">
        <f>IF(OR(TEXT(AH$13,"ddd")="Sun",AH$13="",$D19=""),"",IF('Leave Planner'!AF20="",1,0))</f>
        <v/>
      </c>
      <c r="AI19" s="17">
        <f>IF(OR(TEXT(AI$13,"ddd")="Sun",AI$13="",$D19=""),"",IF('Leave Planner'!AG20="",1,0))</f>
        <v>1</v>
      </c>
      <c r="AJ19" s="17" t="str">
        <f>IF(OR(TEXT(AJ$13,"ddd")="Sun",AJ$13="",$D19=""),"",IF('Leave Planner'!AH20="",1,0))</f>
        <v/>
      </c>
    </row>
    <row r="20" spans="2:36" x14ac:dyDescent="0.75">
      <c r="B20" s="16">
        <v>7</v>
      </c>
      <c r="C20" s="21" t="s">
        <v>24</v>
      </c>
      <c r="D20" s="22" t="s">
        <v>25</v>
      </c>
      <c r="E20" s="42">
        <f t="shared" si="5"/>
        <v>24</v>
      </c>
      <c r="F20" s="17" t="str">
        <f>IF(OR(TEXT(F$13,"ddd")="Sun",F$13="",$D20=""),"",IF('Leave Planner'!D21="",1,0))</f>
        <v/>
      </c>
      <c r="G20" s="17">
        <f>IF(OR(TEXT(G$13,"ddd")="Sun",G$13="",$D20=""),"",IF('Leave Planner'!E21="",1,0))</f>
        <v>1</v>
      </c>
      <c r="H20" s="17">
        <f>IF(OR(TEXT(H$13,"ddd")="Sun",H$13="",$D20=""),"",IF('Leave Planner'!F21="",1,0))</f>
        <v>1</v>
      </c>
      <c r="I20" s="17">
        <f>IF(OR(TEXT(I$13,"ddd")="Sun",I$13="",$D20=""),"",IF('Leave Planner'!G21="",1,0))</f>
        <v>1</v>
      </c>
      <c r="J20" s="17">
        <f>IF(OR(TEXT(J$13,"ddd")="Sun",J$13="",$D20=""),"",IF('Leave Planner'!H21="",1,0))</f>
        <v>1</v>
      </c>
      <c r="K20" s="17">
        <f>IF(OR(TEXT(K$13,"ddd")="Sun",K$13="",$D20=""),"",IF('Leave Planner'!I21="",1,0))</f>
        <v>1</v>
      </c>
      <c r="L20" s="17">
        <f>IF(OR(TEXT(L$13,"ddd")="Sun",L$13="",$D20=""),"",IF('Leave Planner'!J21="",1,0))</f>
        <v>1</v>
      </c>
      <c r="M20" s="17" t="str">
        <f>IF(OR(TEXT(M$13,"ddd")="Sun",M$13="",$D20=""),"",IF('Leave Planner'!K21="",1,0))</f>
        <v/>
      </c>
      <c r="N20" s="17">
        <f>IF(OR(TEXT(N$13,"ddd")="Sun",N$13="",$D20=""),"",IF('Leave Planner'!L21="",1,0))</f>
        <v>1</v>
      </c>
      <c r="O20" s="17">
        <f>IF(OR(TEXT(O$13,"ddd")="Sun",O$13="",$D20=""),"",IF('Leave Planner'!M21="",1,0))</f>
        <v>1</v>
      </c>
      <c r="P20" s="17">
        <f>IF(OR(TEXT(P$13,"ddd")="Sun",P$13="",$D20=""),"",IF('Leave Planner'!N21="",1,0))</f>
        <v>1</v>
      </c>
      <c r="Q20" s="17">
        <f>IF(OR(TEXT(Q$13,"ddd")="Sun",Q$13="",$D20=""),"",IF('Leave Planner'!O21="",1,0))</f>
        <v>1</v>
      </c>
      <c r="R20" s="17">
        <f>IF(OR(TEXT(R$13,"ddd")="Sun",R$13="",$D20=""),"",IF('Leave Planner'!P21="",1,0))</f>
        <v>1</v>
      </c>
      <c r="S20" s="17">
        <f>IF(OR(TEXT(S$13,"ddd")="Sun",S$13="",$D20=""),"",IF('Leave Planner'!Q21="",1,0))</f>
        <v>0</v>
      </c>
      <c r="T20" s="17" t="str">
        <f>IF(OR(TEXT(T$13,"ddd")="Sun",T$13="",$D20=""),"",IF('Leave Planner'!R21="",1,0))</f>
        <v/>
      </c>
      <c r="U20" s="17">
        <f>IF(OR(TEXT(U$13,"ddd")="Sun",U$13="",$D20=""),"",IF('Leave Planner'!S21="",1,0))</f>
        <v>1</v>
      </c>
      <c r="V20" s="17">
        <f>IF(OR(TEXT(V$13,"ddd")="Sun",V$13="",$D20=""),"",IF('Leave Planner'!T21="",1,0))</f>
        <v>1</v>
      </c>
      <c r="W20" s="17">
        <f>IF(OR(TEXT(W$13,"ddd")="Sun",W$13="",$D20=""),"",IF('Leave Planner'!U21="",1,0))</f>
        <v>1</v>
      </c>
      <c r="X20" s="17">
        <f>IF(OR(TEXT(X$13,"ddd")="Sun",X$13="",$D20=""),"",IF('Leave Planner'!V21="",1,0))</f>
        <v>1</v>
      </c>
      <c r="Y20" s="17">
        <f>IF(OR(TEXT(Y$13,"ddd")="Sun",Y$13="",$D20=""),"",IF('Leave Planner'!W21="",1,0))</f>
        <v>1</v>
      </c>
      <c r="Z20" s="17">
        <f>IF(OR(TEXT(Z$13,"ddd")="Sun",Z$13="",$D20=""),"",IF('Leave Planner'!X21="",1,0))</f>
        <v>1</v>
      </c>
      <c r="AA20" s="17" t="str">
        <f>IF(OR(TEXT(AA$13,"ddd")="Sun",AA$13="",$D20=""),"",IF('Leave Planner'!Y21="",1,0))</f>
        <v/>
      </c>
      <c r="AB20" s="17">
        <f>IF(OR(TEXT(AB$13,"ddd")="Sun",AB$13="",$D20=""),"",IF('Leave Planner'!Z21="",1,0))</f>
        <v>1</v>
      </c>
      <c r="AC20" s="17">
        <f>IF(OR(TEXT(AC$13,"ddd")="Sun",AC$13="",$D20=""),"",IF('Leave Planner'!AA21="",1,0))</f>
        <v>1</v>
      </c>
      <c r="AD20" s="17">
        <f>IF(OR(TEXT(AD$13,"ddd")="Sun",AD$13="",$D20=""),"",IF('Leave Planner'!AB21="",1,0))</f>
        <v>1</v>
      </c>
      <c r="AE20" s="17">
        <f>IF(OR(TEXT(AE$13,"ddd")="Sun",AE$13="",$D20=""),"",IF('Leave Planner'!AC21="",1,0))</f>
        <v>1</v>
      </c>
      <c r="AF20" s="17">
        <f>IF(OR(TEXT(AF$13,"ddd")="Sun",AF$13="",$D20=""),"",IF('Leave Planner'!AD21="",1,0))</f>
        <v>1</v>
      </c>
      <c r="AG20" s="17">
        <f>IF(OR(TEXT(AG$13,"ddd")="Sun",AG$13="",$D20=""),"",IF('Leave Planner'!AE21="",1,0))</f>
        <v>1</v>
      </c>
      <c r="AH20" s="17" t="str">
        <f>IF(OR(TEXT(AH$13,"ddd")="Sun",AH$13="",$D20=""),"",IF('Leave Planner'!AF21="",1,0))</f>
        <v/>
      </c>
      <c r="AI20" s="17">
        <f>IF(OR(TEXT(AI$13,"ddd")="Sun",AI$13="",$D20=""),"",IF('Leave Planner'!AG21="",1,0))</f>
        <v>1</v>
      </c>
      <c r="AJ20" s="17" t="str">
        <f>IF(OR(TEXT(AJ$13,"ddd")="Sun",AJ$13="",$D20=""),"",IF('Leave Planner'!AH21="",1,0))</f>
        <v/>
      </c>
    </row>
    <row r="21" spans="2:36" x14ac:dyDescent="0.75">
      <c r="B21" s="16">
        <v>8</v>
      </c>
      <c r="C21" s="21" t="s">
        <v>26</v>
      </c>
      <c r="D21" s="22" t="s">
        <v>27</v>
      </c>
      <c r="E21" s="42">
        <f t="shared" si="5"/>
        <v>24</v>
      </c>
      <c r="F21" s="17" t="str">
        <f>IF(OR(TEXT(F$13,"ddd")="Sun",F$13="",$D21=""),"",IF('Leave Planner'!D22="",1,0))</f>
        <v/>
      </c>
      <c r="G21" s="17">
        <f>IF(OR(TEXT(G$13,"ddd")="Sun",G$13="",$D21=""),"",IF('Leave Planner'!E22="",1,0))</f>
        <v>1</v>
      </c>
      <c r="H21" s="17">
        <f>IF(OR(TEXT(H$13,"ddd")="Sun",H$13="",$D21=""),"",IF('Leave Planner'!F22="",1,0))</f>
        <v>1</v>
      </c>
      <c r="I21" s="17">
        <f>IF(OR(TEXT(I$13,"ddd")="Sun",I$13="",$D21=""),"",IF('Leave Planner'!G22="",1,0))</f>
        <v>1</v>
      </c>
      <c r="J21" s="17">
        <f>IF(OR(TEXT(J$13,"ddd")="Sun",J$13="",$D21=""),"",IF('Leave Planner'!H22="",1,0))</f>
        <v>1</v>
      </c>
      <c r="K21" s="17">
        <f>IF(OR(TEXT(K$13,"ddd")="Sun",K$13="",$D21=""),"",IF('Leave Planner'!I22="",1,0))</f>
        <v>1</v>
      </c>
      <c r="L21" s="17">
        <f>IF(OR(TEXT(L$13,"ddd")="Sun",L$13="",$D21=""),"",IF('Leave Planner'!J22="",1,0))</f>
        <v>1</v>
      </c>
      <c r="M21" s="17" t="str">
        <f>IF(OR(TEXT(M$13,"ddd")="Sun",M$13="",$D21=""),"",IF('Leave Planner'!K22="",1,0))</f>
        <v/>
      </c>
      <c r="N21" s="17">
        <f>IF(OR(TEXT(N$13,"ddd")="Sun",N$13="",$D21=""),"",IF('Leave Planner'!L22="",1,0))</f>
        <v>1</v>
      </c>
      <c r="O21" s="17">
        <f>IF(OR(TEXT(O$13,"ddd")="Sun",O$13="",$D21=""),"",IF('Leave Planner'!M22="",1,0))</f>
        <v>1</v>
      </c>
      <c r="P21" s="17">
        <f>IF(OR(TEXT(P$13,"ddd")="Sun",P$13="",$D21=""),"",IF('Leave Planner'!N22="",1,0))</f>
        <v>1</v>
      </c>
      <c r="Q21" s="17">
        <f>IF(OR(TEXT(Q$13,"ddd")="Sun",Q$13="",$D21=""),"",IF('Leave Planner'!O22="",1,0))</f>
        <v>1</v>
      </c>
      <c r="R21" s="17">
        <f>IF(OR(TEXT(R$13,"ddd")="Sun",R$13="",$D21=""),"",IF('Leave Planner'!P22="",1,0))</f>
        <v>1</v>
      </c>
      <c r="S21" s="17">
        <f>IF(OR(TEXT(S$13,"ddd")="Sun",S$13="",$D21=""),"",IF('Leave Planner'!Q22="",1,0))</f>
        <v>1</v>
      </c>
      <c r="T21" s="17" t="str">
        <f>IF(OR(TEXT(T$13,"ddd")="Sun",T$13="",$D21=""),"",IF('Leave Planner'!R22="",1,0))</f>
        <v/>
      </c>
      <c r="U21" s="17">
        <f>IF(OR(TEXT(U$13,"ddd")="Sun",U$13="",$D21=""),"",IF('Leave Planner'!S22="",1,0))</f>
        <v>1</v>
      </c>
      <c r="V21" s="17">
        <f>IF(OR(TEXT(V$13,"ddd")="Sun",V$13="",$D21=""),"",IF('Leave Planner'!T22="",1,0))</f>
        <v>1</v>
      </c>
      <c r="W21" s="17">
        <f>IF(OR(TEXT(W$13,"ddd")="Sun",W$13="",$D21=""),"",IF('Leave Planner'!U22="",1,0))</f>
        <v>1</v>
      </c>
      <c r="X21" s="17">
        <f>IF(OR(TEXT(X$13,"ddd")="Sun",X$13="",$D21=""),"",IF('Leave Planner'!V22="",1,0))</f>
        <v>1</v>
      </c>
      <c r="Y21" s="17">
        <f>IF(OR(TEXT(Y$13,"ddd")="Sun",Y$13="",$D21=""),"",IF('Leave Planner'!W22="",1,0))</f>
        <v>1</v>
      </c>
      <c r="Z21" s="17">
        <f>IF(OR(TEXT(Z$13,"ddd")="Sun",Z$13="",$D21=""),"",IF('Leave Planner'!X22="",1,0))</f>
        <v>1</v>
      </c>
      <c r="AA21" s="17" t="str">
        <f>IF(OR(TEXT(AA$13,"ddd")="Sun",AA$13="",$D21=""),"",IF('Leave Planner'!Y22="",1,0))</f>
        <v/>
      </c>
      <c r="AB21" s="17">
        <f>IF(OR(TEXT(AB$13,"ddd")="Sun",AB$13="",$D21=""),"",IF('Leave Planner'!Z22="",1,0))</f>
        <v>1</v>
      </c>
      <c r="AC21" s="17">
        <f>IF(OR(TEXT(AC$13,"ddd")="Sun",AC$13="",$D21=""),"",IF('Leave Planner'!AA22="",1,0))</f>
        <v>1</v>
      </c>
      <c r="AD21" s="17">
        <f>IF(OR(TEXT(AD$13,"ddd")="Sun",AD$13="",$D21=""),"",IF('Leave Planner'!AB22="",1,0))</f>
        <v>1</v>
      </c>
      <c r="AE21" s="17">
        <f>IF(OR(TEXT(AE$13,"ddd")="Sun",AE$13="",$D21=""),"",IF('Leave Planner'!AC22="",1,0))</f>
        <v>1</v>
      </c>
      <c r="AF21" s="17">
        <f>IF(OR(TEXT(AF$13,"ddd")="Sun",AF$13="",$D21=""),"",IF('Leave Planner'!AD22="",1,0))</f>
        <v>1</v>
      </c>
      <c r="AG21" s="17">
        <f>IF(OR(TEXT(AG$13,"ddd")="Sun",AG$13="",$D21=""),"",IF('Leave Planner'!AE22="",1,0))</f>
        <v>0</v>
      </c>
      <c r="AH21" s="17" t="str">
        <f>IF(OR(TEXT(AH$13,"ddd")="Sun",AH$13="",$D21=""),"",IF('Leave Planner'!AF22="",1,0))</f>
        <v/>
      </c>
      <c r="AI21" s="17">
        <f>IF(OR(TEXT(AI$13,"ddd")="Sun",AI$13="",$D21=""),"",IF('Leave Planner'!AG22="",1,0))</f>
        <v>1</v>
      </c>
      <c r="AJ21" s="17" t="str">
        <f>IF(OR(TEXT(AJ$13,"ddd")="Sun",AJ$13="",$D21=""),"",IF('Leave Planner'!AH22="",1,0))</f>
        <v/>
      </c>
    </row>
    <row r="22" spans="2:36" x14ac:dyDescent="0.75">
      <c r="B22" s="16">
        <v>9</v>
      </c>
      <c r="C22" s="21" t="s">
        <v>28</v>
      </c>
      <c r="D22" s="22" t="s">
        <v>29</v>
      </c>
      <c r="E22" s="42">
        <f t="shared" si="5"/>
        <v>24</v>
      </c>
      <c r="F22" s="17" t="str">
        <f>IF(OR(TEXT(F$13,"ddd")="Sun",F$13="",$D22=""),"",IF('Leave Planner'!D23="",1,0))</f>
        <v/>
      </c>
      <c r="G22" s="17">
        <f>IF(OR(TEXT(G$13,"ddd")="Sun",G$13="",$D22=""),"",IF('Leave Planner'!E23="",1,0))</f>
        <v>1</v>
      </c>
      <c r="H22" s="17">
        <f>IF(OR(TEXT(H$13,"ddd")="Sun",H$13="",$D22=""),"",IF('Leave Planner'!F23="",1,0))</f>
        <v>1</v>
      </c>
      <c r="I22" s="17">
        <f>IF(OR(TEXT(I$13,"ddd")="Sun",I$13="",$D22=""),"",IF('Leave Planner'!G23="",1,0))</f>
        <v>1</v>
      </c>
      <c r="J22" s="17">
        <f>IF(OR(TEXT(J$13,"ddd")="Sun",J$13="",$D22=""),"",IF('Leave Planner'!H23="",1,0))</f>
        <v>1</v>
      </c>
      <c r="K22" s="17">
        <f>IF(OR(TEXT(K$13,"ddd")="Sun",K$13="",$D22=""),"",IF('Leave Planner'!I23="",1,0))</f>
        <v>1</v>
      </c>
      <c r="L22" s="17">
        <f>IF(OR(TEXT(L$13,"ddd")="Sun",L$13="",$D22=""),"",IF('Leave Planner'!J23="",1,0))</f>
        <v>1</v>
      </c>
      <c r="M22" s="17" t="str">
        <f>IF(OR(TEXT(M$13,"ddd")="Sun",M$13="",$D22=""),"",IF('Leave Planner'!K23="",1,0))</f>
        <v/>
      </c>
      <c r="N22" s="17">
        <f>IF(OR(TEXT(N$13,"ddd")="Sun",N$13="",$D22=""),"",IF('Leave Planner'!L23="",1,0))</f>
        <v>1</v>
      </c>
      <c r="O22" s="17">
        <f>IF(OR(TEXT(O$13,"ddd")="Sun",O$13="",$D22=""),"",IF('Leave Planner'!M23="",1,0))</f>
        <v>1</v>
      </c>
      <c r="P22" s="17">
        <f>IF(OR(TEXT(P$13,"ddd")="Sun",P$13="",$D22=""),"",IF('Leave Planner'!N23="",1,0))</f>
        <v>1</v>
      </c>
      <c r="Q22" s="17">
        <f>IF(OR(TEXT(Q$13,"ddd")="Sun",Q$13="",$D22=""),"",IF('Leave Planner'!O23="",1,0))</f>
        <v>1</v>
      </c>
      <c r="R22" s="17">
        <f>IF(OR(TEXT(R$13,"ddd")="Sun",R$13="",$D22=""),"",IF('Leave Planner'!P23="",1,0))</f>
        <v>1</v>
      </c>
      <c r="S22" s="17">
        <f>IF(OR(TEXT(S$13,"ddd")="Sun",S$13="",$D22=""),"",IF('Leave Planner'!Q23="",1,0))</f>
        <v>1</v>
      </c>
      <c r="T22" s="17" t="str">
        <f>IF(OR(TEXT(T$13,"ddd")="Sun",T$13="",$D22=""),"",IF('Leave Planner'!R23="",1,0))</f>
        <v/>
      </c>
      <c r="U22" s="17">
        <f>IF(OR(TEXT(U$13,"ddd")="Sun",U$13="",$D22=""),"",IF('Leave Planner'!S23="",1,0))</f>
        <v>1</v>
      </c>
      <c r="V22" s="17">
        <f>IF(OR(TEXT(V$13,"ddd")="Sun",V$13="",$D22=""),"",IF('Leave Planner'!T23="",1,0))</f>
        <v>1</v>
      </c>
      <c r="W22" s="17">
        <f>IF(OR(TEXT(W$13,"ddd")="Sun",W$13="",$D22=""),"",IF('Leave Planner'!U23="",1,0))</f>
        <v>1</v>
      </c>
      <c r="X22" s="17">
        <f>IF(OR(TEXT(X$13,"ddd")="Sun",X$13="",$D22=""),"",IF('Leave Planner'!V23="",1,0))</f>
        <v>1</v>
      </c>
      <c r="Y22" s="17">
        <f>IF(OR(TEXT(Y$13,"ddd")="Sun",Y$13="",$D22=""),"",IF('Leave Planner'!W23="",1,0))</f>
        <v>1</v>
      </c>
      <c r="Z22" s="17">
        <f>IF(OR(TEXT(Z$13,"ddd")="Sun",Z$13="",$D22=""),"",IF('Leave Planner'!X23="",1,0))</f>
        <v>1</v>
      </c>
      <c r="AA22" s="17" t="str">
        <f>IF(OR(TEXT(AA$13,"ddd")="Sun",AA$13="",$D22=""),"",IF('Leave Planner'!Y23="",1,0))</f>
        <v/>
      </c>
      <c r="AB22" s="17">
        <f>IF(OR(TEXT(AB$13,"ddd")="Sun",AB$13="",$D22=""),"",IF('Leave Planner'!Z23="",1,0))</f>
        <v>0</v>
      </c>
      <c r="AC22" s="17">
        <f>IF(OR(TEXT(AC$13,"ddd")="Sun",AC$13="",$D22=""),"",IF('Leave Planner'!AA23="",1,0))</f>
        <v>1</v>
      </c>
      <c r="AD22" s="17">
        <f>IF(OR(TEXT(AD$13,"ddd")="Sun",AD$13="",$D22=""),"",IF('Leave Planner'!AB23="",1,0))</f>
        <v>1</v>
      </c>
      <c r="AE22" s="17">
        <f>IF(OR(TEXT(AE$13,"ddd")="Sun",AE$13="",$D22=""),"",IF('Leave Planner'!AC23="",1,0))</f>
        <v>1</v>
      </c>
      <c r="AF22" s="17">
        <f>IF(OR(TEXT(AF$13,"ddd")="Sun",AF$13="",$D22=""),"",IF('Leave Planner'!AD23="",1,0))</f>
        <v>1</v>
      </c>
      <c r="AG22" s="17">
        <f>IF(OR(TEXT(AG$13,"ddd")="Sun",AG$13="",$D22=""),"",IF('Leave Planner'!AE23="",1,0))</f>
        <v>1</v>
      </c>
      <c r="AH22" s="17" t="str">
        <f>IF(OR(TEXT(AH$13,"ddd")="Sun",AH$13="",$D22=""),"",IF('Leave Planner'!AF23="",1,0))</f>
        <v/>
      </c>
      <c r="AI22" s="17">
        <f>IF(OR(TEXT(AI$13,"ddd")="Sun",AI$13="",$D22=""),"",IF('Leave Planner'!AG23="",1,0))</f>
        <v>1</v>
      </c>
      <c r="AJ22" s="17" t="str">
        <f>IF(OR(TEXT(AJ$13,"ddd")="Sun",AJ$13="",$D22=""),"",IF('Leave Planner'!AH23="",1,0))</f>
        <v/>
      </c>
    </row>
    <row r="23" spans="2:36" x14ac:dyDescent="0.75">
      <c r="B23" s="16">
        <v>10</v>
      </c>
      <c r="C23" s="21" t="s">
        <v>30</v>
      </c>
      <c r="D23" s="22" t="s">
        <v>31</v>
      </c>
      <c r="E23" s="42">
        <f t="shared" si="5"/>
        <v>25</v>
      </c>
      <c r="F23" s="17" t="str">
        <f>IF(OR(TEXT(F$13,"ddd")="Sun",F$13="",$D23=""),"",IF('Leave Planner'!D24="",1,0))</f>
        <v/>
      </c>
      <c r="G23" s="17">
        <f>IF(OR(TEXT(G$13,"ddd")="Sun",G$13="",$D23=""),"",IF('Leave Planner'!E24="",1,0))</f>
        <v>1</v>
      </c>
      <c r="H23" s="17">
        <f>IF(OR(TEXT(H$13,"ddd")="Sun",H$13="",$D23=""),"",IF('Leave Planner'!F24="",1,0))</f>
        <v>1</v>
      </c>
      <c r="I23" s="17">
        <f>IF(OR(TEXT(I$13,"ddd")="Sun",I$13="",$D23=""),"",IF('Leave Planner'!G24="",1,0))</f>
        <v>1</v>
      </c>
      <c r="J23" s="17">
        <f>IF(OR(TEXT(J$13,"ddd")="Sun",J$13="",$D23=""),"",IF('Leave Planner'!H24="",1,0))</f>
        <v>1</v>
      </c>
      <c r="K23" s="17">
        <f>IF(OR(TEXT(K$13,"ddd")="Sun",K$13="",$D23=""),"",IF('Leave Planner'!I24="",1,0))</f>
        <v>1</v>
      </c>
      <c r="L23" s="17">
        <f>IF(OR(TEXT(L$13,"ddd")="Sun",L$13="",$D23=""),"",IF('Leave Planner'!J24="",1,0))</f>
        <v>1</v>
      </c>
      <c r="M23" s="17" t="str">
        <f>IF(OR(TEXT(M$13,"ddd")="Sun",M$13="",$D23=""),"",IF('Leave Planner'!K24="",1,0))</f>
        <v/>
      </c>
      <c r="N23" s="17">
        <f>IF(OR(TEXT(N$13,"ddd")="Sun",N$13="",$D23=""),"",IF('Leave Planner'!L24="",1,0))</f>
        <v>1</v>
      </c>
      <c r="O23" s="17">
        <f>IF(OR(TEXT(O$13,"ddd")="Sun",O$13="",$D23=""),"",IF('Leave Planner'!M24="",1,0))</f>
        <v>1</v>
      </c>
      <c r="P23" s="17">
        <f>IF(OR(TEXT(P$13,"ddd")="Sun",P$13="",$D23=""),"",IF('Leave Planner'!N24="",1,0))</f>
        <v>1</v>
      </c>
      <c r="Q23" s="17">
        <f>IF(OR(TEXT(Q$13,"ddd")="Sun",Q$13="",$D23=""),"",IF('Leave Planner'!O24="",1,0))</f>
        <v>1</v>
      </c>
      <c r="R23" s="17">
        <f>IF(OR(TEXT(R$13,"ddd")="Sun",R$13="",$D23=""),"",IF('Leave Planner'!P24="",1,0))</f>
        <v>1</v>
      </c>
      <c r="S23" s="17">
        <f>IF(OR(TEXT(S$13,"ddd")="Sun",S$13="",$D23=""),"",IF('Leave Planner'!Q24="",1,0))</f>
        <v>1</v>
      </c>
      <c r="T23" s="17" t="str">
        <f>IF(OR(TEXT(T$13,"ddd")="Sun",T$13="",$D23=""),"",IF('Leave Planner'!R24="",1,0))</f>
        <v/>
      </c>
      <c r="U23" s="17">
        <f>IF(OR(TEXT(U$13,"ddd")="Sun",U$13="",$D23=""),"",IF('Leave Planner'!S24="",1,0))</f>
        <v>1</v>
      </c>
      <c r="V23" s="17">
        <f>IF(OR(TEXT(V$13,"ddd")="Sun",V$13="",$D23=""),"",IF('Leave Planner'!T24="",1,0))</f>
        <v>1</v>
      </c>
      <c r="W23" s="17">
        <f>IF(OR(TEXT(W$13,"ddd")="Sun",W$13="",$D23=""),"",IF('Leave Planner'!U24="",1,0))</f>
        <v>1</v>
      </c>
      <c r="X23" s="17">
        <f>IF(OR(TEXT(X$13,"ddd")="Sun",X$13="",$D23=""),"",IF('Leave Planner'!V24="",1,0))</f>
        <v>1</v>
      </c>
      <c r="Y23" s="17">
        <f>IF(OR(TEXT(Y$13,"ddd")="Sun",Y$13="",$D23=""),"",IF('Leave Planner'!W24="",1,0))</f>
        <v>1</v>
      </c>
      <c r="Z23" s="17">
        <f>IF(OR(TEXT(Z$13,"ddd")="Sun",Z$13="",$D23=""),"",IF('Leave Planner'!X24="",1,0))</f>
        <v>1</v>
      </c>
      <c r="AA23" s="17" t="str">
        <f>IF(OR(TEXT(AA$13,"ddd")="Sun",AA$13="",$D23=""),"",IF('Leave Planner'!Y24="",1,0))</f>
        <v/>
      </c>
      <c r="AB23" s="17">
        <f>IF(OR(TEXT(AB$13,"ddd")="Sun",AB$13="",$D23=""),"",IF('Leave Planner'!Z24="",1,0))</f>
        <v>1</v>
      </c>
      <c r="AC23" s="17">
        <f>IF(OR(TEXT(AC$13,"ddd")="Sun",AC$13="",$D23=""),"",IF('Leave Planner'!AA24="",1,0))</f>
        <v>1</v>
      </c>
      <c r="AD23" s="17">
        <f>IF(OR(TEXT(AD$13,"ddd")="Sun",AD$13="",$D23=""),"",IF('Leave Planner'!AB24="",1,0))</f>
        <v>1</v>
      </c>
      <c r="AE23" s="17">
        <f>IF(OR(TEXT(AE$13,"ddd")="Sun",AE$13="",$D23=""),"",IF('Leave Planner'!AC24="",1,0))</f>
        <v>1</v>
      </c>
      <c r="AF23" s="17">
        <f>IF(OR(TEXT(AF$13,"ddd")="Sun",AF$13="",$D23=""),"",IF('Leave Planner'!AD24="",1,0))</f>
        <v>1</v>
      </c>
      <c r="AG23" s="17">
        <f>IF(OR(TEXT(AG$13,"ddd")="Sun",AG$13="",$D23=""),"",IF('Leave Planner'!AE24="",1,0))</f>
        <v>1</v>
      </c>
      <c r="AH23" s="17" t="str">
        <f>IF(OR(TEXT(AH$13,"ddd")="Sun",AH$13="",$D23=""),"",IF('Leave Planner'!AF24="",1,0))</f>
        <v/>
      </c>
      <c r="AI23" s="17">
        <f>IF(OR(TEXT(AI$13,"ddd")="Sun",AI$13="",$D23=""),"",IF('Leave Planner'!AG24="",1,0))</f>
        <v>1</v>
      </c>
      <c r="AJ23" s="17" t="str">
        <f>IF(OR(TEXT(AJ$13,"ddd")="Sun",AJ$13="",$D23=""),"",IF('Leave Planner'!AH24="",1,0))</f>
        <v/>
      </c>
    </row>
    <row r="24" spans="2:36" x14ac:dyDescent="0.75">
      <c r="B24" s="16">
        <v>11</v>
      </c>
      <c r="C24" s="21" t="s">
        <v>32</v>
      </c>
      <c r="D24" s="22" t="s">
        <v>33</v>
      </c>
      <c r="E24" s="42">
        <f t="shared" si="5"/>
        <v>25</v>
      </c>
      <c r="F24" s="17" t="str">
        <f>IF(OR(TEXT(F$13,"ddd")="Sun",F$13="",$D24=""),"",IF('Leave Planner'!D25="",1,0))</f>
        <v/>
      </c>
      <c r="G24" s="17">
        <f>IF(OR(TEXT(G$13,"ddd")="Sun",G$13="",$D24=""),"",IF('Leave Planner'!E25="",1,0))</f>
        <v>1</v>
      </c>
      <c r="H24" s="17">
        <f>IF(OR(TEXT(H$13,"ddd")="Sun",H$13="",$D24=""),"",IF('Leave Planner'!F25="",1,0))</f>
        <v>1</v>
      </c>
      <c r="I24" s="17">
        <f>IF(OR(TEXT(I$13,"ddd")="Sun",I$13="",$D24=""),"",IF('Leave Planner'!G25="",1,0))</f>
        <v>1</v>
      </c>
      <c r="J24" s="17">
        <f>IF(OR(TEXT(J$13,"ddd")="Sun",J$13="",$D24=""),"",IF('Leave Planner'!H25="",1,0))</f>
        <v>1</v>
      </c>
      <c r="K24" s="17">
        <f>IF(OR(TEXT(K$13,"ddd")="Sun",K$13="",$D24=""),"",IF('Leave Planner'!I25="",1,0))</f>
        <v>1</v>
      </c>
      <c r="L24" s="17">
        <f>IF(OR(TEXT(L$13,"ddd")="Sun",L$13="",$D24=""),"",IF('Leave Planner'!J25="",1,0))</f>
        <v>1</v>
      </c>
      <c r="M24" s="17" t="str">
        <f>IF(OR(TEXT(M$13,"ddd")="Sun",M$13="",$D24=""),"",IF('Leave Planner'!K25="",1,0))</f>
        <v/>
      </c>
      <c r="N24" s="17">
        <f>IF(OR(TEXT(N$13,"ddd")="Sun",N$13="",$D24=""),"",IF('Leave Planner'!L25="",1,0))</f>
        <v>1</v>
      </c>
      <c r="O24" s="17">
        <f>IF(OR(TEXT(O$13,"ddd")="Sun",O$13="",$D24=""),"",IF('Leave Planner'!M25="",1,0))</f>
        <v>1</v>
      </c>
      <c r="P24" s="17">
        <f>IF(OR(TEXT(P$13,"ddd")="Sun",P$13="",$D24=""),"",IF('Leave Planner'!N25="",1,0))</f>
        <v>1</v>
      </c>
      <c r="Q24" s="17">
        <f>IF(OR(TEXT(Q$13,"ddd")="Sun",Q$13="",$D24=""),"",IF('Leave Planner'!O25="",1,0))</f>
        <v>1</v>
      </c>
      <c r="R24" s="17">
        <f>IF(OR(TEXT(R$13,"ddd")="Sun",R$13="",$D24=""),"",IF('Leave Planner'!P25="",1,0))</f>
        <v>1</v>
      </c>
      <c r="S24" s="17">
        <f>IF(OR(TEXT(S$13,"ddd")="Sun",S$13="",$D24=""),"",IF('Leave Planner'!Q25="",1,0))</f>
        <v>1</v>
      </c>
      <c r="T24" s="17" t="str">
        <f>IF(OR(TEXT(T$13,"ddd")="Sun",T$13="",$D24=""),"",IF('Leave Planner'!R25="",1,0))</f>
        <v/>
      </c>
      <c r="U24" s="17">
        <f>IF(OR(TEXT(U$13,"ddd")="Sun",U$13="",$D24=""),"",IF('Leave Planner'!S25="",1,0))</f>
        <v>1</v>
      </c>
      <c r="V24" s="17">
        <f>IF(OR(TEXT(V$13,"ddd")="Sun",V$13="",$D24=""),"",IF('Leave Planner'!T25="",1,0))</f>
        <v>1</v>
      </c>
      <c r="W24" s="17">
        <f>IF(OR(TEXT(W$13,"ddd")="Sun",W$13="",$D24=""),"",IF('Leave Planner'!U25="",1,0))</f>
        <v>1</v>
      </c>
      <c r="X24" s="17">
        <f>IF(OR(TEXT(X$13,"ddd")="Sun",X$13="",$D24=""),"",IF('Leave Planner'!V25="",1,0))</f>
        <v>1</v>
      </c>
      <c r="Y24" s="17">
        <f>IF(OR(TEXT(Y$13,"ddd")="Sun",Y$13="",$D24=""),"",IF('Leave Planner'!W25="",1,0))</f>
        <v>1</v>
      </c>
      <c r="Z24" s="17">
        <f>IF(OR(TEXT(Z$13,"ddd")="Sun",Z$13="",$D24=""),"",IF('Leave Planner'!X25="",1,0))</f>
        <v>1</v>
      </c>
      <c r="AA24" s="17" t="str">
        <f>IF(OR(TEXT(AA$13,"ddd")="Sun",AA$13="",$D24=""),"",IF('Leave Planner'!Y25="",1,0))</f>
        <v/>
      </c>
      <c r="AB24" s="17">
        <f>IF(OR(TEXT(AB$13,"ddd")="Sun",AB$13="",$D24=""),"",IF('Leave Planner'!Z25="",1,0))</f>
        <v>1</v>
      </c>
      <c r="AC24" s="17">
        <f>IF(OR(TEXT(AC$13,"ddd")="Sun",AC$13="",$D24=""),"",IF('Leave Planner'!AA25="",1,0))</f>
        <v>1</v>
      </c>
      <c r="AD24" s="17">
        <f>IF(OR(TEXT(AD$13,"ddd")="Sun",AD$13="",$D24=""),"",IF('Leave Planner'!AB25="",1,0))</f>
        <v>1</v>
      </c>
      <c r="AE24" s="17">
        <f>IF(OR(TEXT(AE$13,"ddd")="Sun",AE$13="",$D24=""),"",IF('Leave Planner'!AC25="",1,0))</f>
        <v>1</v>
      </c>
      <c r="AF24" s="17">
        <f>IF(OR(TEXT(AF$13,"ddd")="Sun",AF$13="",$D24=""),"",IF('Leave Planner'!AD25="",1,0))</f>
        <v>1</v>
      </c>
      <c r="AG24" s="17">
        <f>IF(OR(TEXT(AG$13,"ddd")="Sun",AG$13="",$D24=""),"",IF('Leave Planner'!AE25="",1,0))</f>
        <v>1</v>
      </c>
      <c r="AH24" s="17" t="str">
        <f>IF(OR(TEXT(AH$13,"ddd")="Sun",AH$13="",$D24=""),"",IF('Leave Planner'!AF25="",1,0))</f>
        <v/>
      </c>
      <c r="AI24" s="17">
        <f>IF(OR(TEXT(AI$13,"ddd")="Sun",AI$13="",$D24=""),"",IF('Leave Planner'!AG25="",1,0))</f>
        <v>1</v>
      </c>
      <c r="AJ24" s="17" t="str">
        <f>IF(OR(TEXT(AJ$13,"ddd")="Sun",AJ$13="",$D24=""),"",IF('Leave Planner'!AH25="",1,0))</f>
        <v/>
      </c>
    </row>
    <row r="25" spans="2:36" x14ac:dyDescent="0.75">
      <c r="B25" s="16">
        <v>12</v>
      </c>
      <c r="C25" s="21" t="s">
        <v>34</v>
      </c>
      <c r="D25" s="22" t="s">
        <v>35</v>
      </c>
      <c r="E25" s="42">
        <f t="shared" si="5"/>
        <v>22</v>
      </c>
      <c r="F25" s="17" t="str">
        <f>IF(OR(TEXT(F$13,"ddd")="Sun",F$13="",$D25=""),"",IF('Leave Planner'!D26="",1,0))</f>
        <v/>
      </c>
      <c r="G25" s="17">
        <f>IF(OR(TEXT(G$13,"ddd")="Sun",G$13="",$D25=""),"",IF('Leave Planner'!E26="",1,0))</f>
        <v>1</v>
      </c>
      <c r="H25" s="17">
        <f>IF(OR(TEXT(H$13,"ddd")="Sun",H$13="",$D25=""),"",IF('Leave Planner'!F26="",1,0))</f>
        <v>1</v>
      </c>
      <c r="I25" s="17">
        <f>IF(OR(TEXT(I$13,"ddd")="Sun",I$13="",$D25=""),"",IF('Leave Planner'!G26="",1,0))</f>
        <v>1</v>
      </c>
      <c r="J25" s="17">
        <f>IF(OR(TEXT(J$13,"ddd")="Sun",J$13="",$D25=""),"",IF('Leave Planner'!H26="",1,0))</f>
        <v>1</v>
      </c>
      <c r="K25" s="17">
        <f>IF(OR(TEXT(K$13,"ddd")="Sun",K$13="",$D25=""),"",IF('Leave Planner'!I26="",1,0))</f>
        <v>1</v>
      </c>
      <c r="L25" s="17">
        <f>IF(OR(TEXT(L$13,"ddd")="Sun",L$13="",$D25=""),"",IF('Leave Planner'!J26="",1,0))</f>
        <v>1</v>
      </c>
      <c r="M25" s="17" t="str">
        <f>IF(OR(TEXT(M$13,"ddd")="Sun",M$13="",$D25=""),"",IF('Leave Planner'!K26="",1,0))</f>
        <v/>
      </c>
      <c r="N25" s="17">
        <f>IF(OR(TEXT(N$13,"ddd")="Sun",N$13="",$D25=""),"",IF('Leave Planner'!L26="",1,0))</f>
        <v>0</v>
      </c>
      <c r="O25" s="17">
        <f>IF(OR(TEXT(O$13,"ddd")="Sun",O$13="",$D25=""),"",IF('Leave Planner'!M26="",1,0))</f>
        <v>0</v>
      </c>
      <c r="P25" s="17">
        <f>IF(OR(TEXT(P$13,"ddd")="Sun",P$13="",$D25=""),"",IF('Leave Planner'!N26="",1,0))</f>
        <v>0</v>
      </c>
      <c r="Q25" s="17">
        <f>IF(OR(TEXT(Q$13,"ddd")="Sun",Q$13="",$D25=""),"",IF('Leave Planner'!O26="",1,0))</f>
        <v>1</v>
      </c>
      <c r="R25" s="17">
        <f>IF(OR(TEXT(R$13,"ddd")="Sun",R$13="",$D25=""),"",IF('Leave Planner'!P26="",1,0))</f>
        <v>1</v>
      </c>
      <c r="S25" s="17">
        <f>IF(OR(TEXT(S$13,"ddd")="Sun",S$13="",$D25=""),"",IF('Leave Planner'!Q26="",1,0))</f>
        <v>1</v>
      </c>
      <c r="T25" s="17" t="str">
        <f>IF(OR(TEXT(T$13,"ddd")="Sun",T$13="",$D25=""),"",IF('Leave Planner'!R26="",1,0))</f>
        <v/>
      </c>
      <c r="U25" s="17">
        <f>IF(OR(TEXT(U$13,"ddd")="Sun",U$13="",$D25=""),"",IF('Leave Planner'!S26="",1,0))</f>
        <v>1</v>
      </c>
      <c r="V25" s="17">
        <f>IF(OR(TEXT(V$13,"ddd")="Sun",V$13="",$D25=""),"",IF('Leave Planner'!T26="",1,0))</f>
        <v>1</v>
      </c>
      <c r="W25" s="17">
        <f>IF(OR(TEXT(W$13,"ddd")="Sun",W$13="",$D25=""),"",IF('Leave Planner'!U26="",1,0))</f>
        <v>1</v>
      </c>
      <c r="X25" s="17">
        <f>IF(OR(TEXT(X$13,"ddd")="Sun",X$13="",$D25=""),"",IF('Leave Planner'!V26="",1,0))</f>
        <v>1</v>
      </c>
      <c r="Y25" s="17">
        <f>IF(OR(TEXT(Y$13,"ddd")="Sun",Y$13="",$D25=""),"",IF('Leave Planner'!W26="",1,0))</f>
        <v>1</v>
      </c>
      <c r="Z25" s="17">
        <f>IF(OR(TEXT(Z$13,"ddd")="Sun",Z$13="",$D25=""),"",IF('Leave Planner'!X26="",1,0))</f>
        <v>1</v>
      </c>
      <c r="AA25" s="17" t="str">
        <f>IF(OR(TEXT(AA$13,"ddd")="Sun",AA$13="",$D25=""),"",IF('Leave Planner'!Y26="",1,0))</f>
        <v/>
      </c>
      <c r="AB25" s="17">
        <f>IF(OR(TEXT(AB$13,"ddd")="Sun",AB$13="",$D25=""),"",IF('Leave Planner'!Z26="",1,0))</f>
        <v>1</v>
      </c>
      <c r="AC25" s="17">
        <f>IF(OR(TEXT(AC$13,"ddd")="Sun",AC$13="",$D25=""),"",IF('Leave Planner'!AA26="",1,0))</f>
        <v>1</v>
      </c>
      <c r="AD25" s="17">
        <f>IF(OR(TEXT(AD$13,"ddd")="Sun",AD$13="",$D25=""),"",IF('Leave Planner'!AB26="",1,0))</f>
        <v>1</v>
      </c>
      <c r="AE25" s="17">
        <f>IF(OR(TEXT(AE$13,"ddd")="Sun",AE$13="",$D25=""),"",IF('Leave Planner'!AC26="",1,0))</f>
        <v>1</v>
      </c>
      <c r="AF25" s="17">
        <f>IF(OR(TEXT(AF$13,"ddd")="Sun",AF$13="",$D25=""),"",IF('Leave Planner'!AD26="",1,0))</f>
        <v>1</v>
      </c>
      <c r="AG25" s="17">
        <f>IF(OR(TEXT(AG$13,"ddd")="Sun",AG$13="",$D25=""),"",IF('Leave Planner'!AE26="",1,0))</f>
        <v>1</v>
      </c>
      <c r="AH25" s="17" t="str">
        <f>IF(OR(TEXT(AH$13,"ddd")="Sun",AH$13="",$D25=""),"",IF('Leave Planner'!AF26="",1,0))</f>
        <v/>
      </c>
      <c r="AI25" s="17">
        <f>IF(OR(TEXT(AI$13,"ddd")="Sun",AI$13="",$D25=""),"",IF('Leave Planner'!AG26="",1,0))</f>
        <v>1</v>
      </c>
      <c r="AJ25" s="17" t="str">
        <f>IF(OR(TEXT(AJ$13,"ddd")="Sun",AJ$13="",$D25=""),"",IF('Leave Planner'!AH26="",1,0))</f>
        <v/>
      </c>
    </row>
    <row r="26" spans="2:36" x14ac:dyDescent="0.75">
      <c r="B26" s="16">
        <v>13</v>
      </c>
      <c r="C26" s="21" t="s">
        <v>36</v>
      </c>
      <c r="D26" s="22" t="s">
        <v>37</v>
      </c>
      <c r="E26" s="42">
        <f t="shared" si="5"/>
        <v>25</v>
      </c>
      <c r="F26" s="17" t="str">
        <f>IF(OR(TEXT(F$13,"ddd")="Sun",F$13="",$D26=""),"",IF('Leave Planner'!D27="",1,0))</f>
        <v/>
      </c>
      <c r="G26" s="17">
        <f>IF(OR(TEXT(G$13,"ddd")="Sun",G$13="",$D26=""),"",IF('Leave Planner'!E27="",1,0))</f>
        <v>1</v>
      </c>
      <c r="H26" s="17">
        <f>IF(OR(TEXT(H$13,"ddd")="Sun",H$13="",$D26=""),"",IF('Leave Planner'!F27="",1,0))</f>
        <v>1</v>
      </c>
      <c r="I26" s="17">
        <f>IF(OR(TEXT(I$13,"ddd")="Sun",I$13="",$D26=""),"",IF('Leave Planner'!G27="",1,0))</f>
        <v>1</v>
      </c>
      <c r="J26" s="17">
        <f>IF(OR(TEXT(J$13,"ddd")="Sun",J$13="",$D26=""),"",IF('Leave Planner'!H27="",1,0))</f>
        <v>1</v>
      </c>
      <c r="K26" s="17">
        <f>IF(OR(TEXT(K$13,"ddd")="Sun",K$13="",$D26=""),"",IF('Leave Planner'!I27="",1,0))</f>
        <v>1</v>
      </c>
      <c r="L26" s="17">
        <f>IF(OR(TEXT(L$13,"ddd")="Sun",L$13="",$D26=""),"",IF('Leave Planner'!J27="",1,0))</f>
        <v>1</v>
      </c>
      <c r="M26" s="17" t="str">
        <f>IF(OR(TEXT(M$13,"ddd")="Sun",M$13="",$D26=""),"",IF('Leave Planner'!K27="",1,0))</f>
        <v/>
      </c>
      <c r="N26" s="17">
        <f>IF(OR(TEXT(N$13,"ddd")="Sun",N$13="",$D26=""),"",IF('Leave Planner'!L27="",1,0))</f>
        <v>1</v>
      </c>
      <c r="O26" s="17">
        <f>IF(OR(TEXT(O$13,"ddd")="Sun",O$13="",$D26=""),"",IF('Leave Planner'!M27="",1,0))</f>
        <v>1</v>
      </c>
      <c r="P26" s="17">
        <f>IF(OR(TEXT(P$13,"ddd")="Sun",P$13="",$D26=""),"",IF('Leave Planner'!N27="",1,0))</f>
        <v>1</v>
      </c>
      <c r="Q26" s="17">
        <f>IF(OR(TEXT(Q$13,"ddd")="Sun",Q$13="",$D26=""),"",IF('Leave Planner'!O27="",1,0))</f>
        <v>1</v>
      </c>
      <c r="R26" s="17">
        <f>IF(OR(TEXT(R$13,"ddd")="Sun",R$13="",$D26=""),"",IF('Leave Planner'!P27="",1,0))</f>
        <v>1</v>
      </c>
      <c r="S26" s="17">
        <f>IF(OR(TEXT(S$13,"ddd")="Sun",S$13="",$D26=""),"",IF('Leave Planner'!Q27="",1,0))</f>
        <v>1</v>
      </c>
      <c r="T26" s="17" t="str">
        <f>IF(OR(TEXT(T$13,"ddd")="Sun",T$13="",$D26=""),"",IF('Leave Planner'!R27="",1,0))</f>
        <v/>
      </c>
      <c r="U26" s="17">
        <f>IF(OR(TEXT(U$13,"ddd")="Sun",U$13="",$D26=""),"",IF('Leave Planner'!S27="",1,0))</f>
        <v>1</v>
      </c>
      <c r="V26" s="17">
        <f>IF(OR(TEXT(V$13,"ddd")="Sun",V$13="",$D26=""),"",IF('Leave Planner'!T27="",1,0))</f>
        <v>1</v>
      </c>
      <c r="W26" s="17">
        <f>IF(OR(TEXT(W$13,"ddd")="Sun",W$13="",$D26=""),"",IF('Leave Planner'!U27="",1,0))</f>
        <v>1</v>
      </c>
      <c r="X26" s="17">
        <f>IF(OR(TEXT(X$13,"ddd")="Sun",X$13="",$D26=""),"",IF('Leave Planner'!V27="",1,0))</f>
        <v>1</v>
      </c>
      <c r="Y26" s="17">
        <f>IF(OR(TEXT(Y$13,"ddd")="Sun",Y$13="",$D26=""),"",IF('Leave Planner'!W27="",1,0))</f>
        <v>1</v>
      </c>
      <c r="Z26" s="17">
        <f>IF(OR(TEXT(Z$13,"ddd")="Sun",Z$13="",$D26=""),"",IF('Leave Planner'!X27="",1,0))</f>
        <v>1</v>
      </c>
      <c r="AA26" s="17" t="str">
        <f>IF(OR(TEXT(AA$13,"ddd")="Sun",AA$13="",$D26=""),"",IF('Leave Planner'!Y27="",1,0))</f>
        <v/>
      </c>
      <c r="AB26" s="17">
        <f>IF(OR(TEXT(AB$13,"ddd")="Sun",AB$13="",$D26=""),"",IF('Leave Planner'!Z27="",1,0))</f>
        <v>1</v>
      </c>
      <c r="AC26" s="17">
        <f>IF(OR(TEXT(AC$13,"ddd")="Sun",AC$13="",$D26=""),"",IF('Leave Planner'!AA27="",1,0))</f>
        <v>1</v>
      </c>
      <c r="AD26" s="17">
        <f>IF(OR(TEXT(AD$13,"ddd")="Sun",AD$13="",$D26=""),"",IF('Leave Planner'!AB27="",1,0))</f>
        <v>1</v>
      </c>
      <c r="AE26" s="17">
        <f>IF(OR(TEXT(AE$13,"ddd")="Sun",AE$13="",$D26=""),"",IF('Leave Planner'!AC27="",1,0))</f>
        <v>1</v>
      </c>
      <c r="AF26" s="17">
        <f>IF(OR(TEXT(AF$13,"ddd")="Sun",AF$13="",$D26=""),"",IF('Leave Planner'!AD27="",1,0))</f>
        <v>1</v>
      </c>
      <c r="AG26" s="17">
        <f>IF(OR(TEXT(AG$13,"ddd")="Sun",AG$13="",$D26=""),"",IF('Leave Planner'!AE27="",1,0))</f>
        <v>1</v>
      </c>
      <c r="AH26" s="17" t="str">
        <f>IF(OR(TEXT(AH$13,"ddd")="Sun",AH$13="",$D26=""),"",IF('Leave Planner'!AF27="",1,0))</f>
        <v/>
      </c>
      <c r="AI26" s="17">
        <f>IF(OR(TEXT(AI$13,"ddd")="Sun",AI$13="",$D26=""),"",IF('Leave Planner'!AG27="",1,0))</f>
        <v>1</v>
      </c>
      <c r="AJ26" s="17" t="str">
        <f>IF(OR(TEXT(AJ$13,"ddd")="Sun",AJ$13="",$D26=""),"",IF('Leave Planner'!AH27="",1,0))</f>
        <v/>
      </c>
    </row>
    <row r="27" spans="2:36" x14ac:dyDescent="0.75">
      <c r="B27" s="16">
        <v>14</v>
      </c>
      <c r="C27" s="21" t="s">
        <v>38</v>
      </c>
      <c r="D27" s="22" t="s">
        <v>39</v>
      </c>
      <c r="E27" s="42">
        <f t="shared" si="5"/>
        <v>24</v>
      </c>
      <c r="F27" s="17" t="str">
        <f>IF(OR(TEXT(F$13,"ddd")="Sun",F$13="",$D27=""),"",IF('Leave Planner'!D28="",1,0))</f>
        <v/>
      </c>
      <c r="G27" s="17">
        <f>IF(OR(TEXT(G$13,"ddd")="Sun",G$13="",$D27=""),"",IF('Leave Planner'!E28="",1,0))</f>
        <v>1</v>
      </c>
      <c r="H27" s="17">
        <f>IF(OR(TEXT(H$13,"ddd")="Sun",H$13="",$D27=""),"",IF('Leave Planner'!F28="",1,0))</f>
        <v>1</v>
      </c>
      <c r="I27" s="17">
        <f>IF(OR(TEXT(I$13,"ddd")="Sun",I$13="",$D27=""),"",IF('Leave Planner'!G28="",1,0))</f>
        <v>1</v>
      </c>
      <c r="J27" s="17">
        <f>IF(OR(TEXT(J$13,"ddd")="Sun",J$13="",$D27=""),"",IF('Leave Planner'!H28="",1,0))</f>
        <v>1</v>
      </c>
      <c r="K27" s="17">
        <f>IF(OR(TEXT(K$13,"ddd")="Sun",K$13="",$D27=""),"",IF('Leave Planner'!I28="",1,0))</f>
        <v>1</v>
      </c>
      <c r="L27" s="17">
        <f>IF(OR(TEXT(L$13,"ddd")="Sun",L$13="",$D27=""),"",IF('Leave Planner'!J28="",1,0))</f>
        <v>1</v>
      </c>
      <c r="M27" s="17" t="str">
        <f>IF(OR(TEXT(M$13,"ddd")="Sun",M$13="",$D27=""),"",IF('Leave Planner'!K28="",1,0))</f>
        <v/>
      </c>
      <c r="N27" s="17">
        <f>IF(OR(TEXT(N$13,"ddd")="Sun",N$13="",$D27=""),"",IF('Leave Planner'!L28="",1,0))</f>
        <v>1</v>
      </c>
      <c r="O27" s="17">
        <f>IF(OR(TEXT(O$13,"ddd")="Sun",O$13="",$D27=""),"",IF('Leave Planner'!M28="",1,0))</f>
        <v>1</v>
      </c>
      <c r="P27" s="17">
        <f>IF(OR(TEXT(P$13,"ddd")="Sun",P$13="",$D27=""),"",IF('Leave Planner'!N28="",1,0))</f>
        <v>1</v>
      </c>
      <c r="Q27" s="17">
        <f>IF(OR(TEXT(Q$13,"ddd")="Sun",Q$13="",$D27=""),"",IF('Leave Planner'!O28="",1,0))</f>
        <v>1</v>
      </c>
      <c r="R27" s="17">
        <f>IF(OR(TEXT(R$13,"ddd")="Sun",R$13="",$D27=""),"",IF('Leave Planner'!P28="",1,0))</f>
        <v>1</v>
      </c>
      <c r="S27" s="17">
        <f>IF(OR(TEXT(S$13,"ddd")="Sun",S$13="",$D27=""),"",IF('Leave Planner'!Q28="",1,0))</f>
        <v>1</v>
      </c>
      <c r="T27" s="17" t="str">
        <f>IF(OR(TEXT(T$13,"ddd")="Sun",T$13="",$D27=""),"",IF('Leave Planner'!R28="",1,0))</f>
        <v/>
      </c>
      <c r="U27" s="17">
        <f>IF(OR(TEXT(U$13,"ddd")="Sun",U$13="",$D27=""),"",IF('Leave Planner'!S28="",1,0))</f>
        <v>1</v>
      </c>
      <c r="V27" s="17">
        <f>IF(OR(TEXT(V$13,"ddd")="Sun",V$13="",$D27=""),"",IF('Leave Planner'!T28="",1,0))</f>
        <v>1</v>
      </c>
      <c r="W27" s="17">
        <f>IF(OR(TEXT(W$13,"ddd")="Sun",W$13="",$D27=""),"",IF('Leave Planner'!U28="",1,0))</f>
        <v>1</v>
      </c>
      <c r="X27" s="17">
        <f>IF(OR(TEXT(X$13,"ddd")="Sun",X$13="",$D27=""),"",IF('Leave Planner'!V28="",1,0))</f>
        <v>1</v>
      </c>
      <c r="Y27" s="17">
        <f>IF(OR(TEXT(Y$13,"ddd")="Sun",Y$13="",$D27=""),"",IF('Leave Planner'!W28="",1,0))</f>
        <v>1</v>
      </c>
      <c r="Z27" s="17">
        <f>IF(OR(TEXT(Z$13,"ddd")="Sun",Z$13="",$D27=""),"",IF('Leave Planner'!X28="",1,0))</f>
        <v>1</v>
      </c>
      <c r="AA27" s="17" t="str">
        <f>IF(OR(TEXT(AA$13,"ddd")="Sun",AA$13="",$D27=""),"",IF('Leave Planner'!Y28="",1,0))</f>
        <v/>
      </c>
      <c r="AB27" s="17">
        <f>IF(OR(TEXT(AB$13,"ddd")="Sun",AB$13="",$D27=""),"",IF('Leave Planner'!Z28="",1,0))</f>
        <v>1</v>
      </c>
      <c r="AC27" s="17">
        <f>IF(OR(TEXT(AC$13,"ddd")="Sun",AC$13="",$D27=""),"",IF('Leave Planner'!AA28="",1,0))</f>
        <v>1</v>
      </c>
      <c r="AD27" s="17">
        <f>IF(OR(TEXT(AD$13,"ddd")="Sun",AD$13="",$D27=""),"",IF('Leave Planner'!AB28="",1,0))</f>
        <v>1</v>
      </c>
      <c r="AE27" s="17">
        <f>IF(OR(TEXT(AE$13,"ddd")="Sun",AE$13="",$D27=""),"",IF('Leave Planner'!AC28="",1,0))</f>
        <v>0</v>
      </c>
      <c r="AF27" s="17">
        <f>IF(OR(TEXT(AF$13,"ddd")="Sun",AF$13="",$D27=""),"",IF('Leave Planner'!AD28="",1,0))</f>
        <v>1</v>
      </c>
      <c r="AG27" s="17">
        <f>IF(OR(TEXT(AG$13,"ddd")="Sun",AG$13="",$D27=""),"",IF('Leave Planner'!AE28="",1,0))</f>
        <v>1</v>
      </c>
      <c r="AH27" s="17" t="str">
        <f>IF(OR(TEXT(AH$13,"ddd")="Sun",AH$13="",$D27=""),"",IF('Leave Planner'!AF28="",1,0))</f>
        <v/>
      </c>
      <c r="AI27" s="17">
        <f>IF(OR(TEXT(AI$13,"ddd")="Sun",AI$13="",$D27=""),"",IF('Leave Planner'!AG28="",1,0))</f>
        <v>1</v>
      </c>
      <c r="AJ27" s="17" t="str">
        <f>IF(OR(TEXT(AJ$13,"ddd")="Sun",AJ$13="",$D27=""),"",IF('Leave Planner'!AH28="",1,0))</f>
        <v/>
      </c>
    </row>
    <row r="28" spans="2:36" x14ac:dyDescent="0.75">
      <c r="B28" s="16">
        <v>15</v>
      </c>
      <c r="C28" s="21" t="s">
        <v>40</v>
      </c>
      <c r="D28" s="22" t="s">
        <v>41</v>
      </c>
      <c r="E28" s="42">
        <f t="shared" si="5"/>
        <v>25</v>
      </c>
      <c r="F28" s="17" t="str">
        <f>IF(OR(TEXT(F$13,"ddd")="Sun",F$13="",$D28=""),"",IF('Leave Planner'!D29="",1,0))</f>
        <v/>
      </c>
      <c r="G28" s="17">
        <f>IF(OR(TEXT(G$13,"ddd")="Sun",G$13="",$D28=""),"",IF('Leave Planner'!E29="",1,0))</f>
        <v>1</v>
      </c>
      <c r="H28" s="17">
        <f>IF(OR(TEXT(H$13,"ddd")="Sun",H$13="",$D28=""),"",IF('Leave Planner'!F29="",1,0))</f>
        <v>1</v>
      </c>
      <c r="I28" s="17">
        <f>IF(OR(TEXT(I$13,"ddd")="Sun",I$13="",$D28=""),"",IF('Leave Planner'!G29="",1,0))</f>
        <v>1</v>
      </c>
      <c r="J28" s="17">
        <f>IF(OR(TEXT(J$13,"ddd")="Sun",J$13="",$D28=""),"",IF('Leave Planner'!H29="",1,0))</f>
        <v>1</v>
      </c>
      <c r="K28" s="17">
        <f>IF(OR(TEXT(K$13,"ddd")="Sun",K$13="",$D28=""),"",IF('Leave Planner'!I29="",1,0))</f>
        <v>1</v>
      </c>
      <c r="L28" s="17">
        <f>IF(OR(TEXT(L$13,"ddd")="Sun",L$13="",$D28=""),"",IF('Leave Planner'!J29="",1,0))</f>
        <v>1</v>
      </c>
      <c r="M28" s="17" t="str">
        <f>IF(OR(TEXT(M$13,"ddd")="Sun",M$13="",$D28=""),"",IF('Leave Planner'!K29="",1,0))</f>
        <v/>
      </c>
      <c r="N28" s="17">
        <f>IF(OR(TEXT(N$13,"ddd")="Sun",N$13="",$D28=""),"",IF('Leave Planner'!L29="",1,0))</f>
        <v>1</v>
      </c>
      <c r="O28" s="17">
        <f>IF(OR(TEXT(O$13,"ddd")="Sun",O$13="",$D28=""),"",IF('Leave Planner'!M29="",1,0))</f>
        <v>1</v>
      </c>
      <c r="P28" s="17">
        <f>IF(OR(TEXT(P$13,"ddd")="Sun",P$13="",$D28=""),"",IF('Leave Planner'!N29="",1,0))</f>
        <v>1</v>
      </c>
      <c r="Q28" s="17">
        <f>IF(OR(TEXT(Q$13,"ddd")="Sun",Q$13="",$D28=""),"",IF('Leave Planner'!O29="",1,0))</f>
        <v>1</v>
      </c>
      <c r="R28" s="17">
        <f>IF(OR(TEXT(R$13,"ddd")="Sun",R$13="",$D28=""),"",IF('Leave Planner'!P29="",1,0))</f>
        <v>1</v>
      </c>
      <c r="S28" s="17">
        <f>IF(OR(TEXT(S$13,"ddd")="Sun",S$13="",$D28=""),"",IF('Leave Planner'!Q29="",1,0))</f>
        <v>1</v>
      </c>
      <c r="T28" s="17" t="str">
        <f>IF(OR(TEXT(T$13,"ddd")="Sun",T$13="",$D28=""),"",IF('Leave Planner'!R29="",1,0))</f>
        <v/>
      </c>
      <c r="U28" s="17">
        <f>IF(OR(TEXT(U$13,"ddd")="Sun",U$13="",$D28=""),"",IF('Leave Planner'!S29="",1,0))</f>
        <v>1</v>
      </c>
      <c r="V28" s="17">
        <f>IF(OR(TEXT(V$13,"ddd")="Sun",V$13="",$D28=""),"",IF('Leave Planner'!T29="",1,0))</f>
        <v>1</v>
      </c>
      <c r="W28" s="17">
        <f>IF(OR(TEXT(W$13,"ddd")="Sun",W$13="",$D28=""),"",IF('Leave Planner'!U29="",1,0))</f>
        <v>1</v>
      </c>
      <c r="X28" s="17">
        <f>IF(OR(TEXT(X$13,"ddd")="Sun",X$13="",$D28=""),"",IF('Leave Planner'!V29="",1,0))</f>
        <v>1</v>
      </c>
      <c r="Y28" s="17">
        <f>IF(OR(TEXT(Y$13,"ddd")="Sun",Y$13="",$D28=""),"",IF('Leave Planner'!W29="",1,0))</f>
        <v>1</v>
      </c>
      <c r="Z28" s="17">
        <f>IF(OR(TEXT(Z$13,"ddd")="Sun",Z$13="",$D28=""),"",IF('Leave Planner'!X29="",1,0))</f>
        <v>1</v>
      </c>
      <c r="AA28" s="17" t="str">
        <f>IF(OR(TEXT(AA$13,"ddd")="Sun",AA$13="",$D28=""),"",IF('Leave Planner'!Y29="",1,0))</f>
        <v/>
      </c>
      <c r="AB28" s="17">
        <f>IF(OR(TEXT(AB$13,"ddd")="Sun",AB$13="",$D28=""),"",IF('Leave Planner'!Z29="",1,0))</f>
        <v>1</v>
      </c>
      <c r="AC28" s="17">
        <f>IF(OR(TEXT(AC$13,"ddd")="Sun",AC$13="",$D28=""),"",IF('Leave Planner'!AA29="",1,0))</f>
        <v>1</v>
      </c>
      <c r="AD28" s="17">
        <f>IF(OR(TEXT(AD$13,"ddd")="Sun",AD$13="",$D28=""),"",IF('Leave Planner'!AB29="",1,0))</f>
        <v>1</v>
      </c>
      <c r="AE28" s="17">
        <f>IF(OR(TEXT(AE$13,"ddd")="Sun",AE$13="",$D28=""),"",IF('Leave Planner'!AC29="",1,0))</f>
        <v>1</v>
      </c>
      <c r="AF28" s="17">
        <f>IF(OR(TEXT(AF$13,"ddd")="Sun",AF$13="",$D28=""),"",IF('Leave Planner'!AD29="",1,0))</f>
        <v>1</v>
      </c>
      <c r="AG28" s="17">
        <f>IF(OR(TEXT(AG$13,"ddd")="Sun",AG$13="",$D28=""),"",IF('Leave Planner'!AE29="",1,0))</f>
        <v>1</v>
      </c>
      <c r="AH28" s="17" t="str">
        <f>IF(OR(TEXT(AH$13,"ddd")="Sun",AH$13="",$D28=""),"",IF('Leave Planner'!AF29="",1,0))</f>
        <v/>
      </c>
      <c r="AI28" s="17">
        <f>IF(OR(TEXT(AI$13,"ddd")="Sun",AI$13="",$D28=""),"",IF('Leave Planner'!AG29="",1,0))</f>
        <v>1</v>
      </c>
      <c r="AJ28" s="17" t="str">
        <f>IF(OR(TEXT(AJ$13,"ddd")="Sun",AJ$13="",$D28=""),"",IF('Leave Planner'!AH29="",1,0))</f>
        <v/>
      </c>
    </row>
    <row r="29" spans="2:36" x14ac:dyDescent="0.75">
      <c r="B29" s="15"/>
      <c r="C29" s="22"/>
      <c r="D29" s="22"/>
      <c r="E29" s="42" t="str">
        <f t="shared" si="5"/>
        <v/>
      </c>
      <c r="F29" s="17" t="str">
        <f>IF(OR(TEXT(F$13,"ddd")="Sun",F$13="",$D29=""),"",IF('Leave Planner'!D30="",1,0))</f>
        <v/>
      </c>
      <c r="G29" s="17" t="str">
        <f>IF(OR(TEXT(G$13,"ddd")="Sun",G$13="",$D29=""),"",IF('Leave Planner'!E30="",1,0))</f>
        <v/>
      </c>
      <c r="H29" s="17" t="str">
        <f>IF(OR(TEXT(H$13,"ddd")="Sun",H$13="",$D29=""),"",IF('Leave Planner'!F30="",1,0))</f>
        <v/>
      </c>
      <c r="I29" s="17" t="str">
        <f>IF(OR(TEXT(I$13,"ddd")="Sun",I$13="",$D29=""),"",IF('Leave Planner'!G30="",1,0))</f>
        <v/>
      </c>
      <c r="J29" s="17" t="str">
        <f>IF(OR(TEXT(J$13,"ddd")="Sun",J$13="",$D29=""),"",IF('Leave Planner'!H30="",1,0))</f>
        <v/>
      </c>
      <c r="K29" s="17" t="str">
        <f>IF(OR(TEXT(K$13,"ddd")="Sun",K$13="",$D29=""),"",IF('Leave Planner'!I30="",1,0))</f>
        <v/>
      </c>
      <c r="L29" s="17" t="str">
        <f>IF(OR(TEXT(L$13,"ddd")="Sun",L$13="",$D29=""),"",IF('Leave Planner'!J30="",1,0))</f>
        <v/>
      </c>
      <c r="M29" s="17" t="str">
        <f>IF(OR(TEXT(M$13,"ddd")="Sun",M$13="",$D29=""),"",IF('Leave Planner'!K30="",1,0))</f>
        <v/>
      </c>
      <c r="N29" s="17" t="str">
        <f>IF(OR(TEXT(N$13,"ddd")="Sun",N$13="",$D29=""),"",IF('Leave Planner'!L30="",1,0))</f>
        <v/>
      </c>
      <c r="O29" s="17" t="str">
        <f>IF(OR(TEXT(O$13,"ddd")="Sun",O$13="",$D29=""),"",IF('Leave Planner'!M30="",1,0))</f>
        <v/>
      </c>
      <c r="P29" s="17" t="str">
        <f>IF(OR(TEXT(P$13,"ddd")="Sun",P$13="",$D29=""),"",IF('Leave Planner'!N30="",1,0))</f>
        <v/>
      </c>
      <c r="Q29" s="17" t="str">
        <f>IF(OR(TEXT(Q$13,"ddd")="Sun",Q$13="",$D29=""),"",IF('Leave Planner'!O30="",1,0))</f>
        <v/>
      </c>
      <c r="R29" s="17" t="str">
        <f>IF(OR(TEXT(R$13,"ddd")="Sun",R$13="",$D29=""),"",IF('Leave Planner'!P30="",1,0))</f>
        <v/>
      </c>
      <c r="S29" s="17" t="str">
        <f>IF(OR(TEXT(S$13,"ddd")="Sun",S$13="",$D29=""),"",IF('Leave Planner'!Q30="",1,0))</f>
        <v/>
      </c>
      <c r="T29" s="17" t="str">
        <f>IF(OR(TEXT(T$13,"ddd")="Sun",T$13="",$D29=""),"",IF('Leave Planner'!R30="",1,0))</f>
        <v/>
      </c>
      <c r="U29" s="17" t="str">
        <f>IF(OR(TEXT(U$13,"ddd")="Sun",U$13="",$D29=""),"",IF('Leave Planner'!S30="",1,0))</f>
        <v/>
      </c>
      <c r="V29" s="17" t="str">
        <f>IF(OR(TEXT(V$13,"ddd")="Sun",V$13="",$D29=""),"",IF('Leave Planner'!T30="",1,0))</f>
        <v/>
      </c>
      <c r="W29" s="17" t="str">
        <f>IF(OR(TEXT(W$13,"ddd")="Sun",W$13="",$D29=""),"",IF('Leave Planner'!U30="",1,0))</f>
        <v/>
      </c>
      <c r="X29" s="17" t="str">
        <f>IF(OR(TEXT(X$13,"ddd")="Sun",X$13="",$D29=""),"",IF('Leave Planner'!V30="",1,0))</f>
        <v/>
      </c>
      <c r="Y29" s="17" t="str">
        <f>IF(OR(TEXT(Y$13,"ddd")="Sun",Y$13="",$D29=""),"",IF('Leave Planner'!W30="",1,0))</f>
        <v/>
      </c>
      <c r="Z29" s="17" t="str">
        <f>IF(OR(TEXT(Z$13,"ddd")="Sun",Z$13="",$D29=""),"",IF('Leave Planner'!X30="",1,0))</f>
        <v/>
      </c>
      <c r="AA29" s="17" t="str">
        <f>IF(OR(TEXT(AA$13,"ddd")="Sun",AA$13="",$D29=""),"",IF('Leave Planner'!Y30="",1,0))</f>
        <v/>
      </c>
      <c r="AB29" s="17" t="str">
        <f>IF(OR(TEXT(AB$13,"ddd")="Sun",AB$13="",$D29=""),"",IF('Leave Planner'!Z30="",1,0))</f>
        <v/>
      </c>
      <c r="AC29" s="17" t="str">
        <f>IF(OR(TEXT(AC$13,"ddd")="Sun",AC$13="",$D29=""),"",IF('Leave Planner'!AA30="",1,0))</f>
        <v/>
      </c>
      <c r="AD29" s="17" t="str">
        <f>IF(OR(TEXT(AD$13,"ddd")="Sun",AD$13="",$D29=""),"",IF('Leave Planner'!AB30="",1,0))</f>
        <v/>
      </c>
      <c r="AE29" s="17" t="str">
        <f>IF(OR(TEXT(AE$13,"ddd")="Sun",AE$13="",$D29=""),"",IF('Leave Planner'!AC30="",1,0))</f>
        <v/>
      </c>
      <c r="AF29" s="17" t="str">
        <f>IF(OR(TEXT(AF$13,"ddd")="Sun",AF$13="",$D29=""),"",IF('Leave Planner'!AD30="",1,0))</f>
        <v/>
      </c>
      <c r="AG29" s="17" t="str">
        <f>IF(OR(TEXT(AG$13,"ddd")="Sun",AG$13="",$D29=""),"",IF('Leave Planner'!AE30="",1,0))</f>
        <v/>
      </c>
      <c r="AH29" s="17" t="str">
        <f>IF(OR(TEXT(AH$13,"ddd")="Sun",AH$13="",$D29=""),"",IF('Leave Planner'!AF30="",1,0))</f>
        <v/>
      </c>
      <c r="AI29" s="17" t="str">
        <f>IF(OR(TEXT(AI$13,"ddd")="Sun",AI$13="",$D29=""),"",IF('Leave Planner'!AG30="",1,0))</f>
        <v/>
      </c>
      <c r="AJ29" s="17" t="str">
        <f>IF(OR(TEXT(AJ$13,"ddd")="Sun",AJ$13="",$D29=""),"",IF('Leave Planner'!AH30="",1,0))</f>
        <v/>
      </c>
    </row>
    <row r="30" spans="2:36" x14ac:dyDescent="0.75">
      <c r="B30" s="15"/>
      <c r="C30" s="22"/>
      <c r="D30" s="22"/>
      <c r="E30" s="42" t="str">
        <f t="shared" si="5"/>
        <v/>
      </c>
      <c r="F30" s="17" t="str">
        <f>IF(OR(TEXT(F$13,"ddd")="Sun",F$13="",$D30=""),"",IF('Leave Planner'!D31="",1,0))</f>
        <v/>
      </c>
      <c r="G30" s="17" t="str">
        <f>IF(OR(TEXT(G$13,"ddd")="Sun",G$13="",$D30=""),"",IF('Leave Planner'!E31="",1,0))</f>
        <v/>
      </c>
      <c r="H30" s="17" t="str">
        <f>IF(OR(TEXT(H$13,"ddd")="Sun",H$13="",$D30=""),"",IF('Leave Planner'!F31="",1,0))</f>
        <v/>
      </c>
      <c r="I30" s="17" t="str">
        <f>IF(OR(TEXT(I$13,"ddd")="Sun",I$13="",$D30=""),"",IF('Leave Planner'!G31="",1,0))</f>
        <v/>
      </c>
      <c r="J30" s="17" t="str">
        <f>IF(OR(TEXT(J$13,"ddd")="Sun",J$13="",$D30=""),"",IF('Leave Planner'!H31="",1,0))</f>
        <v/>
      </c>
      <c r="K30" s="17" t="str">
        <f>IF(OR(TEXT(K$13,"ddd")="Sun",K$13="",$D30=""),"",IF('Leave Planner'!I31="",1,0))</f>
        <v/>
      </c>
      <c r="L30" s="17" t="str">
        <f>IF(OR(TEXT(L$13,"ddd")="Sun",L$13="",$D30=""),"",IF('Leave Planner'!J31="",1,0))</f>
        <v/>
      </c>
      <c r="M30" s="17" t="str">
        <f>IF(OR(TEXT(M$13,"ddd")="Sun",M$13="",$D30=""),"",IF('Leave Planner'!K31="",1,0))</f>
        <v/>
      </c>
      <c r="N30" s="17" t="str">
        <f>IF(OR(TEXT(N$13,"ddd")="Sun",N$13="",$D30=""),"",IF('Leave Planner'!L31="",1,0))</f>
        <v/>
      </c>
      <c r="O30" s="17" t="str">
        <f>IF(OR(TEXT(O$13,"ddd")="Sun",O$13="",$D30=""),"",IF('Leave Planner'!M31="",1,0))</f>
        <v/>
      </c>
      <c r="P30" s="17" t="str">
        <f>IF(OR(TEXT(P$13,"ddd")="Sun",P$13="",$D30=""),"",IF('Leave Planner'!N31="",1,0))</f>
        <v/>
      </c>
      <c r="Q30" s="17" t="str">
        <f>IF(OR(TEXT(Q$13,"ddd")="Sun",Q$13="",$D30=""),"",IF('Leave Planner'!O31="",1,0))</f>
        <v/>
      </c>
      <c r="R30" s="17" t="str">
        <f>IF(OR(TEXT(R$13,"ddd")="Sun",R$13="",$D30=""),"",IF('Leave Planner'!P31="",1,0))</f>
        <v/>
      </c>
      <c r="S30" s="17" t="str">
        <f>IF(OR(TEXT(S$13,"ddd")="Sun",S$13="",$D30=""),"",IF('Leave Planner'!Q31="",1,0))</f>
        <v/>
      </c>
      <c r="T30" s="17" t="str">
        <f>IF(OR(TEXT(T$13,"ddd")="Sun",T$13="",$D30=""),"",IF('Leave Planner'!R31="",1,0))</f>
        <v/>
      </c>
      <c r="U30" s="17" t="str">
        <f>IF(OR(TEXT(U$13,"ddd")="Sun",U$13="",$D30=""),"",IF('Leave Planner'!S31="",1,0))</f>
        <v/>
      </c>
      <c r="V30" s="17" t="str">
        <f>IF(OR(TEXT(V$13,"ddd")="Sun",V$13="",$D30=""),"",IF('Leave Planner'!T31="",1,0))</f>
        <v/>
      </c>
      <c r="W30" s="17" t="str">
        <f>IF(OR(TEXT(W$13,"ddd")="Sun",W$13="",$D30=""),"",IF('Leave Planner'!U31="",1,0))</f>
        <v/>
      </c>
      <c r="X30" s="17" t="str">
        <f>IF(OR(TEXT(X$13,"ddd")="Sun",X$13="",$D30=""),"",IF('Leave Planner'!V31="",1,0))</f>
        <v/>
      </c>
      <c r="Y30" s="17" t="str">
        <f>IF(OR(TEXT(Y$13,"ddd")="Sun",Y$13="",$D30=""),"",IF('Leave Planner'!W31="",1,0))</f>
        <v/>
      </c>
      <c r="Z30" s="17" t="str">
        <f>IF(OR(TEXT(Z$13,"ddd")="Sun",Z$13="",$D30=""),"",IF('Leave Planner'!X31="",1,0))</f>
        <v/>
      </c>
      <c r="AA30" s="17" t="str">
        <f>IF(OR(TEXT(AA$13,"ddd")="Sun",AA$13="",$D30=""),"",IF('Leave Planner'!Y31="",1,0))</f>
        <v/>
      </c>
      <c r="AB30" s="17" t="str">
        <f>IF(OR(TEXT(AB$13,"ddd")="Sun",AB$13="",$D30=""),"",IF('Leave Planner'!Z31="",1,0))</f>
        <v/>
      </c>
      <c r="AC30" s="17" t="str">
        <f>IF(OR(TEXT(AC$13,"ddd")="Sun",AC$13="",$D30=""),"",IF('Leave Planner'!AA31="",1,0))</f>
        <v/>
      </c>
      <c r="AD30" s="17" t="str">
        <f>IF(OR(TEXT(AD$13,"ddd")="Sun",AD$13="",$D30=""),"",IF('Leave Planner'!AB31="",1,0))</f>
        <v/>
      </c>
      <c r="AE30" s="17" t="str">
        <f>IF(OR(TEXT(AE$13,"ddd")="Sun",AE$13="",$D30=""),"",IF('Leave Planner'!AC31="",1,0))</f>
        <v/>
      </c>
      <c r="AF30" s="17" t="str">
        <f>IF(OR(TEXT(AF$13,"ddd")="Sun",AF$13="",$D30=""),"",IF('Leave Planner'!AD31="",1,0))</f>
        <v/>
      </c>
      <c r="AG30" s="17" t="str">
        <f>IF(OR(TEXT(AG$13,"ddd")="Sun",AG$13="",$D30=""),"",IF('Leave Planner'!AE31="",1,0))</f>
        <v/>
      </c>
      <c r="AH30" s="17" t="str">
        <f>IF(OR(TEXT(AH$13,"ddd")="Sun",AH$13="",$D30=""),"",IF('Leave Planner'!AF31="",1,0))</f>
        <v/>
      </c>
      <c r="AI30" s="17" t="str">
        <f>IF(OR(TEXT(AI$13,"ddd")="Sun",AI$13="",$D30=""),"",IF('Leave Planner'!AG31="",1,0))</f>
        <v/>
      </c>
      <c r="AJ30" s="17" t="str">
        <f>IF(OR(TEXT(AJ$13,"ddd")="Sun",AJ$13="",$D30=""),"",IF('Leave Planner'!AH31="",1,0))</f>
        <v/>
      </c>
    </row>
    <row r="31" spans="2:36" x14ac:dyDescent="0.75">
      <c r="B31" s="15"/>
      <c r="C31" s="22"/>
      <c r="D31" s="22"/>
      <c r="E31" s="42" t="str">
        <f t="shared" si="5"/>
        <v/>
      </c>
      <c r="F31" s="17" t="str">
        <f>IF(OR(TEXT(F$13,"ddd")="Sun",F$13="",$D31=""),"",IF('Leave Planner'!D32="",1,0))</f>
        <v/>
      </c>
      <c r="G31" s="17" t="str">
        <f>IF(OR(TEXT(G$13,"ddd")="Sun",G$13="",$D31=""),"",IF('Leave Planner'!E32="",1,0))</f>
        <v/>
      </c>
      <c r="H31" s="17" t="str">
        <f>IF(OR(TEXT(H$13,"ddd")="Sun",H$13="",$D31=""),"",IF('Leave Planner'!F32="",1,0))</f>
        <v/>
      </c>
      <c r="I31" s="17" t="str">
        <f>IF(OR(TEXT(I$13,"ddd")="Sun",I$13="",$D31=""),"",IF('Leave Planner'!G32="",1,0))</f>
        <v/>
      </c>
      <c r="J31" s="17" t="str">
        <f>IF(OR(TEXT(J$13,"ddd")="Sun",J$13="",$D31=""),"",IF('Leave Planner'!H32="",1,0))</f>
        <v/>
      </c>
      <c r="K31" s="17" t="str">
        <f>IF(OR(TEXT(K$13,"ddd")="Sun",K$13="",$D31=""),"",IF('Leave Planner'!I32="",1,0))</f>
        <v/>
      </c>
      <c r="L31" s="17" t="str">
        <f>IF(OR(TEXT(L$13,"ddd")="Sun",L$13="",$D31=""),"",IF('Leave Planner'!J32="",1,0))</f>
        <v/>
      </c>
      <c r="M31" s="17" t="str">
        <f>IF(OR(TEXT(M$13,"ddd")="Sun",M$13="",$D31=""),"",IF('Leave Planner'!K32="",1,0))</f>
        <v/>
      </c>
      <c r="N31" s="17" t="str">
        <f>IF(OR(TEXT(N$13,"ddd")="Sun",N$13="",$D31=""),"",IF('Leave Planner'!L32="",1,0))</f>
        <v/>
      </c>
      <c r="O31" s="17" t="str">
        <f>IF(OR(TEXT(O$13,"ddd")="Sun",O$13="",$D31=""),"",IF('Leave Planner'!M32="",1,0))</f>
        <v/>
      </c>
      <c r="P31" s="17" t="str">
        <f>IF(OR(TEXT(P$13,"ddd")="Sun",P$13="",$D31=""),"",IF('Leave Planner'!N32="",1,0))</f>
        <v/>
      </c>
      <c r="Q31" s="17" t="str">
        <f>IF(OR(TEXT(Q$13,"ddd")="Sun",Q$13="",$D31=""),"",IF('Leave Planner'!O32="",1,0))</f>
        <v/>
      </c>
      <c r="R31" s="17" t="str">
        <f>IF(OR(TEXT(R$13,"ddd")="Sun",R$13="",$D31=""),"",IF('Leave Planner'!P32="",1,0))</f>
        <v/>
      </c>
      <c r="S31" s="17" t="str">
        <f>IF(OR(TEXT(S$13,"ddd")="Sun",S$13="",$D31=""),"",IF('Leave Planner'!Q32="",1,0))</f>
        <v/>
      </c>
      <c r="T31" s="17" t="str">
        <f>IF(OR(TEXT(T$13,"ddd")="Sun",T$13="",$D31=""),"",IF('Leave Planner'!R32="",1,0))</f>
        <v/>
      </c>
      <c r="U31" s="17" t="str">
        <f>IF(OR(TEXT(U$13,"ddd")="Sun",U$13="",$D31=""),"",IF('Leave Planner'!S32="",1,0))</f>
        <v/>
      </c>
      <c r="V31" s="17" t="str">
        <f>IF(OR(TEXT(V$13,"ddd")="Sun",V$13="",$D31=""),"",IF('Leave Planner'!T32="",1,0))</f>
        <v/>
      </c>
      <c r="W31" s="17" t="str">
        <f>IF(OR(TEXT(W$13,"ddd")="Sun",W$13="",$D31=""),"",IF('Leave Planner'!U32="",1,0))</f>
        <v/>
      </c>
      <c r="X31" s="17" t="str">
        <f>IF(OR(TEXT(X$13,"ddd")="Sun",X$13="",$D31=""),"",IF('Leave Planner'!V32="",1,0))</f>
        <v/>
      </c>
      <c r="Y31" s="17" t="str">
        <f>IF(OR(TEXT(Y$13,"ddd")="Sun",Y$13="",$D31=""),"",IF('Leave Planner'!W32="",1,0))</f>
        <v/>
      </c>
      <c r="Z31" s="17" t="str">
        <f>IF(OR(TEXT(Z$13,"ddd")="Sun",Z$13="",$D31=""),"",IF('Leave Planner'!X32="",1,0))</f>
        <v/>
      </c>
      <c r="AA31" s="17" t="str">
        <f>IF(OR(TEXT(AA$13,"ddd")="Sun",AA$13="",$D31=""),"",IF('Leave Planner'!Y32="",1,0))</f>
        <v/>
      </c>
      <c r="AB31" s="17" t="str">
        <f>IF(OR(TEXT(AB$13,"ddd")="Sun",AB$13="",$D31=""),"",IF('Leave Planner'!Z32="",1,0))</f>
        <v/>
      </c>
      <c r="AC31" s="17" t="str">
        <f>IF(OR(TEXT(AC$13,"ddd")="Sun",AC$13="",$D31=""),"",IF('Leave Planner'!AA32="",1,0))</f>
        <v/>
      </c>
      <c r="AD31" s="17" t="str">
        <f>IF(OR(TEXT(AD$13,"ddd")="Sun",AD$13="",$D31=""),"",IF('Leave Planner'!AB32="",1,0))</f>
        <v/>
      </c>
      <c r="AE31" s="17" t="str">
        <f>IF(OR(TEXT(AE$13,"ddd")="Sun",AE$13="",$D31=""),"",IF('Leave Planner'!AC32="",1,0))</f>
        <v/>
      </c>
      <c r="AF31" s="17" t="str">
        <f>IF(OR(TEXT(AF$13,"ddd")="Sun",AF$13="",$D31=""),"",IF('Leave Planner'!AD32="",1,0))</f>
        <v/>
      </c>
      <c r="AG31" s="17" t="str">
        <f>IF(OR(TEXT(AG$13,"ddd")="Sun",AG$13="",$D31=""),"",IF('Leave Planner'!AE32="",1,0))</f>
        <v/>
      </c>
      <c r="AH31" s="17" t="str">
        <f>IF(OR(TEXT(AH$13,"ddd")="Sun",AH$13="",$D31=""),"",IF('Leave Planner'!AF32="",1,0))</f>
        <v/>
      </c>
      <c r="AI31" s="17" t="str">
        <f>IF(OR(TEXT(AI$13,"ddd")="Sun",AI$13="",$D31=""),"",IF('Leave Planner'!AG32="",1,0))</f>
        <v/>
      </c>
      <c r="AJ31" s="17" t="str">
        <f>IF(OR(TEXT(AJ$13,"ddd")="Sun",AJ$13="",$D31=""),"",IF('Leave Planner'!AH32="",1,0))</f>
        <v/>
      </c>
    </row>
    <row r="32" spans="2:36" x14ac:dyDescent="0.75">
      <c r="B32" s="15"/>
      <c r="C32" s="22"/>
      <c r="D32" s="22"/>
      <c r="E32" s="42" t="str">
        <f t="shared" si="5"/>
        <v/>
      </c>
      <c r="F32" s="17" t="str">
        <f>IF(OR(TEXT(F$13,"ddd")="Sun",F$13="",$D32=""),"",IF('Leave Planner'!D33="",1,0))</f>
        <v/>
      </c>
      <c r="G32" s="17" t="str">
        <f>IF(OR(TEXT(G$13,"ddd")="Sun",G$13="",$D32=""),"",IF('Leave Planner'!E33="",1,0))</f>
        <v/>
      </c>
      <c r="H32" s="17" t="str">
        <f>IF(OR(TEXT(H$13,"ddd")="Sun",H$13="",$D32=""),"",IF('Leave Planner'!F33="",1,0))</f>
        <v/>
      </c>
      <c r="I32" s="17" t="str">
        <f>IF(OR(TEXT(I$13,"ddd")="Sun",I$13="",$D32=""),"",IF('Leave Planner'!G33="",1,0))</f>
        <v/>
      </c>
      <c r="J32" s="17" t="str">
        <f>IF(OR(TEXT(J$13,"ddd")="Sun",J$13="",$D32=""),"",IF('Leave Planner'!H33="",1,0))</f>
        <v/>
      </c>
      <c r="K32" s="17" t="str">
        <f>IF(OR(TEXT(K$13,"ddd")="Sun",K$13="",$D32=""),"",IF('Leave Planner'!I33="",1,0))</f>
        <v/>
      </c>
      <c r="L32" s="17" t="str">
        <f>IF(OR(TEXT(L$13,"ddd")="Sun",L$13="",$D32=""),"",IF('Leave Planner'!J33="",1,0))</f>
        <v/>
      </c>
      <c r="M32" s="17" t="str">
        <f>IF(OR(TEXT(M$13,"ddd")="Sun",M$13="",$D32=""),"",IF('Leave Planner'!K33="",1,0))</f>
        <v/>
      </c>
      <c r="N32" s="17" t="str">
        <f>IF(OR(TEXT(N$13,"ddd")="Sun",N$13="",$D32=""),"",IF('Leave Planner'!L33="",1,0))</f>
        <v/>
      </c>
      <c r="O32" s="17" t="str">
        <f>IF(OR(TEXT(O$13,"ddd")="Sun",O$13="",$D32=""),"",IF('Leave Planner'!M33="",1,0))</f>
        <v/>
      </c>
      <c r="P32" s="17" t="str">
        <f>IF(OR(TEXT(P$13,"ddd")="Sun",P$13="",$D32=""),"",IF('Leave Planner'!N33="",1,0))</f>
        <v/>
      </c>
      <c r="Q32" s="17" t="str">
        <f>IF(OR(TEXT(Q$13,"ddd")="Sun",Q$13="",$D32=""),"",IF('Leave Planner'!O33="",1,0))</f>
        <v/>
      </c>
      <c r="R32" s="17" t="str">
        <f>IF(OR(TEXT(R$13,"ddd")="Sun",R$13="",$D32=""),"",IF('Leave Planner'!P33="",1,0))</f>
        <v/>
      </c>
      <c r="S32" s="17" t="str">
        <f>IF(OR(TEXT(S$13,"ddd")="Sun",S$13="",$D32=""),"",IF('Leave Planner'!Q33="",1,0))</f>
        <v/>
      </c>
      <c r="T32" s="17" t="str">
        <f>IF(OR(TEXT(T$13,"ddd")="Sun",T$13="",$D32=""),"",IF('Leave Planner'!R33="",1,0))</f>
        <v/>
      </c>
      <c r="U32" s="17" t="str">
        <f>IF(OR(TEXT(U$13,"ddd")="Sun",U$13="",$D32=""),"",IF('Leave Planner'!S33="",1,0))</f>
        <v/>
      </c>
      <c r="V32" s="17" t="str">
        <f>IF(OR(TEXT(V$13,"ddd")="Sun",V$13="",$D32=""),"",IF('Leave Planner'!T33="",1,0))</f>
        <v/>
      </c>
      <c r="W32" s="17" t="str">
        <f>IF(OR(TEXT(W$13,"ddd")="Sun",W$13="",$D32=""),"",IF('Leave Planner'!U33="",1,0))</f>
        <v/>
      </c>
      <c r="X32" s="17" t="str">
        <f>IF(OR(TEXT(X$13,"ddd")="Sun",X$13="",$D32=""),"",IF('Leave Planner'!V33="",1,0))</f>
        <v/>
      </c>
      <c r="Y32" s="17" t="str">
        <f>IF(OR(TEXT(Y$13,"ddd")="Sun",Y$13="",$D32=""),"",IF('Leave Planner'!W33="",1,0))</f>
        <v/>
      </c>
      <c r="Z32" s="17" t="str">
        <f>IF(OR(TEXT(Z$13,"ddd")="Sun",Z$13="",$D32=""),"",IF('Leave Planner'!X33="",1,0))</f>
        <v/>
      </c>
      <c r="AA32" s="17" t="str">
        <f>IF(OR(TEXT(AA$13,"ddd")="Sun",AA$13="",$D32=""),"",IF('Leave Planner'!Y33="",1,0))</f>
        <v/>
      </c>
      <c r="AB32" s="17" t="str">
        <f>IF(OR(TEXT(AB$13,"ddd")="Sun",AB$13="",$D32=""),"",IF('Leave Planner'!Z33="",1,0))</f>
        <v/>
      </c>
      <c r="AC32" s="17" t="str">
        <f>IF(OR(TEXT(AC$13,"ddd")="Sun",AC$13="",$D32=""),"",IF('Leave Planner'!AA33="",1,0))</f>
        <v/>
      </c>
      <c r="AD32" s="17" t="str">
        <f>IF(OR(TEXT(AD$13,"ddd")="Sun",AD$13="",$D32=""),"",IF('Leave Planner'!AB33="",1,0))</f>
        <v/>
      </c>
      <c r="AE32" s="17" t="str">
        <f>IF(OR(TEXT(AE$13,"ddd")="Sun",AE$13="",$D32=""),"",IF('Leave Planner'!AC33="",1,0))</f>
        <v/>
      </c>
      <c r="AF32" s="17" t="str">
        <f>IF(OR(TEXT(AF$13,"ddd")="Sun",AF$13="",$D32=""),"",IF('Leave Planner'!AD33="",1,0))</f>
        <v/>
      </c>
      <c r="AG32" s="17" t="str">
        <f>IF(OR(TEXT(AG$13,"ddd")="Sun",AG$13="",$D32=""),"",IF('Leave Planner'!AE33="",1,0))</f>
        <v/>
      </c>
      <c r="AH32" s="17" t="str">
        <f>IF(OR(TEXT(AH$13,"ddd")="Sun",AH$13="",$D32=""),"",IF('Leave Planner'!AF33="",1,0))</f>
        <v/>
      </c>
      <c r="AI32" s="17" t="str">
        <f>IF(OR(TEXT(AI$13,"ddd")="Sun",AI$13="",$D32=""),"",IF('Leave Planner'!AG33="",1,0))</f>
        <v/>
      </c>
      <c r="AJ32" s="17" t="str">
        <f>IF(OR(TEXT(AJ$13,"ddd")="Sun",AJ$13="",$D32=""),"",IF('Leave Planner'!AH33="",1,0))</f>
        <v/>
      </c>
    </row>
    <row r="33" spans="2:36" x14ac:dyDescent="0.75">
      <c r="B33" s="15"/>
      <c r="C33" s="22"/>
      <c r="D33" s="22"/>
      <c r="E33" s="42" t="str">
        <f t="shared" si="5"/>
        <v/>
      </c>
      <c r="F33" s="17" t="str">
        <f>IF(OR(TEXT(F$13,"ddd")="Sun",F$13="",$D33=""),"",IF('Leave Planner'!D34="",1,0))</f>
        <v/>
      </c>
      <c r="G33" s="17" t="str">
        <f>IF(OR(TEXT(G$13,"ddd")="Sun",G$13="",$D33=""),"",IF('Leave Planner'!E34="",1,0))</f>
        <v/>
      </c>
      <c r="H33" s="17" t="str">
        <f>IF(OR(TEXT(H$13,"ddd")="Sun",H$13="",$D33=""),"",IF('Leave Planner'!F34="",1,0))</f>
        <v/>
      </c>
      <c r="I33" s="17" t="str">
        <f>IF(OR(TEXT(I$13,"ddd")="Sun",I$13="",$D33=""),"",IF('Leave Planner'!G34="",1,0))</f>
        <v/>
      </c>
      <c r="J33" s="17" t="str">
        <f>IF(OR(TEXT(J$13,"ddd")="Sun",J$13="",$D33=""),"",IF('Leave Planner'!H34="",1,0))</f>
        <v/>
      </c>
      <c r="K33" s="17" t="str">
        <f>IF(OR(TEXT(K$13,"ddd")="Sun",K$13="",$D33=""),"",IF('Leave Planner'!I34="",1,0))</f>
        <v/>
      </c>
      <c r="L33" s="17" t="str">
        <f>IF(OR(TEXT(L$13,"ddd")="Sun",L$13="",$D33=""),"",IF('Leave Planner'!J34="",1,0))</f>
        <v/>
      </c>
      <c r="M33" s="17" t="str">
        <f>IF(OR(TEXT(M$13,"ddd")="Sun",M$13="",$D33=""),"",IF('Leave Planner'!K34="",1,0))</f>
        <v/>
      </c>
      <c r="N33" s="17" t="str">
        <f>IF(OR(TEXT(N$13,"ddd")="Sun",N$13="",$D33=""),"",IF('Leave Planner'!L34="",1,0))</f>
        <v/>
      </c>
      <c r="O33" s="17" t="str">
        <f>IF(OR(TEXT(O$13,"ddd")="Sun",O$13="",$D33=""),"",IF('Leave Planner'!M34="",1,0))</f>
        <v/>
      </c>
      <c r="P33" s="17" t="str">
        <f>IF(OR(TEXT(P$13,"ddd")="Sun",P$13="",$D33=""),"",IF('Leave Planner'!N34="",1,0))</f>
        <v/>
      </c>
      <c r="Q33" s="17" t="str">
        <f>IF(OR(TEXT(Q$13,"ddd")="Sun",Q$13="",$D33=""),"",IF('Leave Planner'!O34="",1,0))</f>
        <v/>
      </c>
      <c r="R33" s="17" t="str">
        <f>IF(OR(TEXT(R$13,"ddd")="Sun",R$13="",$D33=""),"",IF('Leave Planner'!P34="",1,0))</f>
        <v/>
      </c>
      <c r="S33" s="17" t="str">
        <f>IF(OR(TEXT(S$13,"ddd")="Sun",S$13="",$D33=""),"",IF('Leave Planner'!Q34="",1,0))</f>
        <v/>
      </c>
      <c r="T33" s="17" t="str">
        <f>IF(OR(TEXT(T$13,"ddd")="Sun",T$13="",$D33=""),"",IF('Leave Planner'!R34="",1,0))</f>
        <v/>
      </c>
      <c r="U33" s="17" t="str">
        <f>IF(OR(TEXT(U$13,"ddd")="Sun",U$13="",$D33=""),"",IF('Leave Planner'!S34="",1,0))</f>
        <v/>
      </c>
      <c r="V33" s="17" t="str">
        <f>IF(OR(TEXT(V$13,"ddd")="Sun",V$13="",$D33=""),"",IF('Leave Planner'!T34="",1,0))</f>
        <v/>
      </c>
      <c r="W33" s="17" t="str">
        <f>IF(OR(TEXT(W$13,"ddd")="Sun",W$13="",$D33=""),"",IF('Leave Planner'!U34="",1,0))</f>
        <v/>
      </c>
      <c r="X33" s="17" t="str">
        <f>IF(OR(TEXT(X$13,"ddd")="Sun",X$13="",$D33=""),"",IF('Leave Planner'!V34="",1,0))</f>
        <v/>
      </c>
      <c r="Y33" s="17" t="str">
        <f>IF(OR(TEXT(Y$13,"ddd")="Sun",Y$13="",$D33=""),"",IF('Leave Planner'!W34="",1,0))</f>
        <v/>
      </c>
      <c r="Z33" s="17" t="str">
        <f>IF(OR(TEXT(Z$13,"ddd")="Sun",Z$13="",$D33=""),"",IF('Leave Planner'!X34="",1,0))</f>
        <v/>
      </c>
      <c r="AA33" s="17" t="str">
        <f>IF(OR(TEXT(AA$13,"ddd")="Sun",AA$13="",$D33=""),"",IF('Leave Planner'!Y34="",1,0))</f>
        <v/>
      </c>
      <c r="AB33" s="17" t="str">
        <f>IF(OR(TEXT(AB$13,"ddd")="Sun",AB$13="",$D33=""),"",IF('Leave Planner'!Z34="",1,0))</f>
        <v/>
      </c>
      <c r="AC33" s="17" t="str">
        <f>IF(OR(TEXT(AC$13,"ddd")="Sun",AC$13="",$D33=""),"",IF('Leave Planner'!AA34="",1,0))</f>
        <v/>
      </c>
      <c r="AD33" s="17" t="str">
        <f>IF(OR(TEXT(AD$13,"ddd")="Sun",AD$13="",$D33=""),"",IF('Leave Planner'!AB34="",1,0))</f>
        <v/>
      </c>
      <c r="AE33" s="17" t="str">
        <f>IF(OR(TEXT(AE$13,"ddd")="Sun",AE$13="",$D33=""),"",IF('Leave Planner'!AC34="",1,0))</f>
        <v/>
      </c>
      <c r="AF33" s="17" t="str">
        <f>IF(OR(TEXT(AF$13,"ddd")="Sun",AF$13="",$D33=""),"",IF('Leave Planner'!AD34="",1,0))</f>
        <v/>
      </c>
      <c r="AG33" s="17" t="str">
        <f>IF(OR(TEXT(AG$13,"ddd")="Sun",AG$13="",$D33=""),"",IF('Leave Planner'!AE34="",1,0))</f>
        <v/>
      </c>
      <c r="AH33" s="17" t="str">
        <f>IF(OR(TEXT(AH$13,"ddd")="Sun",AH$13="",$D33=""),"",IF('Leave Planner'!AF34="",1,0))</f>
        <v/>
      </c>
      <c r="AI33" s="17" t="str">
        <f>IF(OR(TEXT(AI$13,"ddd")="Sun",AI$13="",$D33=""),"",IF('Leave Planner'!AG34="",1,0))</f>
        <v/>
      </c>
      <c r="AJ33" s="17" t="str">
        <f>IF(OR(TEXT(AJ$13,"ddd")="Sun",AJ$13="",$D33=""),"",IF('Leave Planner'!AH34="",1,0))</f>
        <v/>
      </c>
    </row>
    <row r="34" spans="2:36" x14ac:dyDescent="0.75">
      <c r="B34" s="15"/>
      <c r="C34" s="22"/>
      <c r="D34" s="22"/>
      <c r="E34" s="42" t="str">
        <f t="shared" si="5"/>
        <v/>
      </c>
      <c r="F34" s="17" t="str">
        <f>IF(OR(TEXT(F$13,"ddd")="Sun",F$13="",$D34=""),"",IF('Leave Planner'!D35="",1,0))</f>
        <v/>
      </c>
      <c r="G34" s="17" t="str">
        <f>IF(OR(TEXT(G$13,"ddd")="Sun",G$13="",$D34=""),"",IF('Leave Planner'!E35="",1,0))</f>
        <v/>
      </c>
      <c r="H34" s="17" t="str">
        <f>IF(OR(TEXT(H$13,"ddd")="Sun",H$13="",$D34=""),"",IF('Leave Planner'!F35="",1,0))</f>
        <v/>
      </c>
      <c r="I34" s="17" t="str">
        <f>IF(OR(TEXT(I$13,"ddd")="Sun",I$13="",$D34=""),"",IF('Leave Planner'!G35="",1,0))</f>
        <v/>
      </c>
      <c r="J34" s="17" t="str">
        <f>IF(OR(TEXT(J$13,"ddd")="Sun",J$13="",$D34=""),"",IF('Leave Planner'!H35="",1,0))</f>
        <v/>
      </c>
      <c r="K34" s="17" t="str">
        <f>IF(OR(TEXT(K$13,"ddd")="Sun",K$13="",$D34=""),"",IF('Leave Planner'!I35="",1,0))</f>
        <v/>
      </c>
      <c r="L34" s="17" t="str">
        <f>IF(OR(TEXT(L$13,"ddd")="Sun",L$13="",$D34=""),"",IF('Leave Planner'!J35="",1,0))</f>
        <v/>
      </c>
      <c r="M34" s="17" t="str">
        <f>IF(OR(TEXT(M$13,"ddd")="Sun",M$13="",$D34=""),"",IF('Leave Planner'!K35="",1,0))</f>
        <v/>
      </c>
      <c r="N34" s="17" t="str">
        <f>IF(OR(TEXT(N$13,"ddd")="Sun",N$13="",$D34=""),"",IF('Leave Planner'!L35="",1,0))</f>
        <v/>
      </c>
      <c r="O34" s="17" t="str">
        <f>IF(OR(TEXT(O$13,"ddd")="Sun",O$13="",$D34=""),"",IF('Leave Planner'!M35="",1,0))</f>
        <v/>
      </c>
      <c r="P34" s="17" t="str">
        <f>IF(OR(TEXT(P$13,"ddd")="Sun",P$13="",$D34=""),"",IF('Leave Planner'!N35="",1,0))</f>
        <v/>
      </c>
      <c r="Q34" s="17" t="str">
        <f>IF(OR(TEXT(Q$13,"ddd")="Sun",Q$13="",$D34=""),"",IF('Leave Planner'!O35="",1,0))</f>
        <v/>
      </c>
      <c r="R34" s="17" t="str">
        <f>IF(OR(TEXT(R$13,"ddd")="Sun",R$13="",$D34=""),"",IF('Leave Planner'!P35="",1,0))</f>
        <v/>
      </c>
      <c r="S34" s="17" t="str">
        <f>IF(OR(TEXT(S$13,"ddd")="Sun",S$13="",$D34=""),"",IF('Leave Planner'!Q35="",1,0))</f>
        <v/>
      </c>
      <c r="T34" s="17" t="str">
        <f>IF(OR(TEXT(T$13,"ddd")="Sun",T$13="",$D34=""),"",IF('Leave Planner'!R35="",1,0))</f>
        <v/>
      </c>
      <c r="U34" s="17" t="str">
        <f>IF(OR(TEXT(U$13,"ddd")="Sun",U$13="",$D34=""),"",IF('Leave Planner'!S35="",1,0))</f>
        <v/>
      </c>
      <c r="V34" s="17" t="str">
        <f>IF(OR(TEXT(V$13,"ddd")="Sun",V$13="",$D34=""),"",IF('Leave Planner'!T35="",1,0))</f>
        <v/>
      </c>
      <c r="W34" s="17" t="str">
        <f>IF(OR(TEXT(W$13,"ddd")="Sun",W$13="",$D34=""),"",IF('Leave Planner'!U35="",1,0))</f>
        <v/>
      </c>
      <c r="X34" s="17" t="str">
        <f>IF(OR(TEXT(X$13,"ddd")="Sun",X$13="",$D34=""),"",IF('Leave Planner'!V35="",1,0))</f>
        <v/>
      </c>
      <c r="Y34" s="17" t="str">
        <f>IF(OR(TEXT(Y$13,"ddd")="Sun",Y$13="",$D34=""),"",IF('Leave Planner'!W35="",1,0))</f>
        <v/>
      </c>
      <c r="Z34" s="17" t="str">
        <f>IF(OR(TEXT(Z$13,"ddd")="Sun",Z$13="",$D34=""),"",IF('Leave Planner'!X35="",1,0))</f>
        <v/>
      </c>
      <c r="AA34" s="17" t="str">
        <f>IF(OR(TEXT(AA$13,"ddd")="Sun",AA$13="",$D34=""),"",IF('Leave Planner'!Y35="",1,0))</f>
        <v/>
      </c>
      <c r="AB34" s="17" t="str">
        <f>IF(OR(TEXT(AB$13,"ddd")="Sun",AB$13="",$D34=""),"",IF('Leave Planner'!Z35="",1,0))</f>
        <v/>
      </c>
      <c r="AC34" s="17" t="str">
        <f>IF(OR(TEXT(AC$13,"ddd")="Sun",AC$13="",$D34=""),"",IF('Leave Planner'!AA35="",1,0))</f>
        <v/>
      </c>
      <c r="AD34" s="17" t="str">
        <f>IF(OR(TEXT(AD$13,"ddd")="Sun",AD$13="",$D34=""),"",IF('Leave Planner'!AB35="",1,0))</f>
        <v/>
      </c>
      <c r="AE34" s="17" t="str">
        <f>IF(OR(TEXT(AE$13,"ddd")="Sun",AE$13="",$D34=""),"",IF('Leave Planner'!AC35="",1,0))</f>
        <v/>
      </c>
      <c r="AF34" s="17" t="str">
        <f>IF(OR(TEXT(AF$13,"ddd")="Sun",AF$13="",$D34=""),"",IF('Leave Planner'!AD35="",1,0))</f>
        <v/>
      </c>
      <c r="AG34" s="17" t="str">
        <f>IF(OR(TEXT(AG$13,"ddd")="Sun",AG$13="",$D34=""),"",IF('Leave Planner'!AE35="",1,0))</f>
        <v/>
      </c>
      <c r="AH34" s="17" t="str">
        <f>IF(OR(TEXT(AH$13,"ddd")="Sun",AH$13="",$D34=""),"",IF('Leave Planner'!AF35="",1,0))</f>
        <v/>
      </c>
      <c r="AI34" s="17" t="str">
        <f>IF(OR(TEXT(AI$13,"ddd")="Sun",AI$13="",$D34=""),"",IF('Leave Planner'!AG35="",1,0))</f>
        <v/>
      </c>
      <c r="AJ34" s="17" t="str">
        <f>IF(OR(TEXT(AJ$13,"ddd")="Sun",AJ$13="",$D34=""),"",IF('Leave Planner'!AH35="",1,0))</f>
        <v/>
      </c>
    </row>
    <row r="35" spans="2:36" x14ac:dyDescent="0.75">
      <c r="B35" s="15"/>
      <c r="C35" s="22"/>
      <c r="D35" s="22"/>
      <c r="E35" s="42" t="str">
        <f t="shared" si="5"/>
        <v/>
      </c>
      <c r="F35" s="17" t="str">
        <f>IF(OR(TEXT(F$13,"ddd")="Sun",F$13="",$D35=""),"",IF('Leave Planner'!D36="",1,0))</f>
        <v/>
      </c>
      <c r="G35" s="17" t="str">
        <f>IF(OR(TEXT(G$13,"ddd")="Sun",G$13="",$D35=""),"",IF('Leave Planner'!E36="",1,0))</f>
        <v/>
      </c>
      <c r="H35" s="17" t="str">
        <f>IF(OR(TEXT(H$13,"ddd")="Sun",H$13="",$D35=""),"",IF('Leave Planner'!F36="",1,0))</f>
        <v/>
      </c>
      <c r="I35" s="17" t="str">
        <f>IF(OR(TEXT(I$13,"ddd")="Sun",I$13="",$D35=""),"",IF('Leave Planner'!G36="",1,0))</f>
        <v/>
      </c>
      <c r="J35" s="17" t="str">
        <f>IF(OR(TEXT(J$13,"ddd")="Sun",J$13="",$D35=""),"",IF('Leave Planner'!H36="",1,0))</f>
        <v/>
      </c>
      <c r="K35" s="17" t="str">
        <f>IF(OR(TEXT(K$13,"ddd")="Sun",K$13="",$D35=""),"",IF('Leave Planner'!I36="",1,0))</f>
        <v/>
      </c>
      <c r="L35" s="17" t="str">
        <f>IF(OR(TEXT(L$13,"ddd")="Sun",L$13="",$D35=""),"",IF('Leave Planner'!J36="",1,0))</f>
        <v/>
      </c>
      <c r="M35" s="17" t="str">
        <f>IF(OR(TEXT(M$13,"ddd")="Sun",M$13="",$D35=""),"",IF('Leave Planner'!K36="",1,0))</f>
        <v/>
      </c>
      <c r="N35" s="17" t="str">
        <f>IF(OR(TEXT(N$13,"ddd")="Sun",N$13="",$D35=""),"",IF('Leave Planner'!L36="",1,0))</f>
        <v/>
      </c>
      <c r="O35" s="17" t="str">
        <f>IF(OR(TEXT(O$13,"ddd")="Sun",O$13="",$D35=""),"",IF('Leave Planner'!M36="",1,0))</f>
        <v/>
      </c>
      <c r="P35" s="17" t="str">
        <f>IF(OR(TEXT(P$13,"ddd")="Sun",P$13="",$D35=""),"",IF('Leave Planner'!N36="",1,0))</f>
        <v/>
      </c>
      <c r="Q35" s="17" t="str">
        <f>IF(OR(TEXT(Q$13,"ddd")="Sun",Q$13="",$D35=""),"",IF('Leave Planner'!O36="",1,0))</f>
        <v/>
      </c>
      <c r="R35" s="17" t="str">
        <f>IF(OR(TEXT(R$13,"ddd")="Sun",R$13="",$D35=""),"",IF('Leave Planner'!P36="",1,0))</f>
        <v/>
      </c>
      <c r="S35" s="17" t="str">
        <f>IF(OR(TEXT(S$13,"ddd")="Sun",S$13="",$D35=""),"",IF('Leave Planner'!Q36="",1,0))</f>
        <v/>
      </c>
      <c r="T35" s="17" t="str">
        <f>IF(OR(TEXT(T$13,"ddd")="Sun",T$13="",$D35=""),"",IF('Leave Planner'!R36="",1,0))</f>
        <v/>
      </c>
      <c r="U35" s="17" t="str">
        <f>IF(OR(TEXT(U$13,"ddd")="Sun",U$13="",$D35=""),"",IF('Leave Planner'!S36="",1,0))</f>
        <v/>
      </c>
      <c r="V35" s="17" t="str">
        <f>IF(OR(TEXT(V$13,"ddd")="Sun",V$13="",$D35=""),"",IF('Leave Planner'!T36="",1,0))</f>
        <v/>
      </c>
      <c r="W35" s="17" t="str">
        <f>IF(OR(TEXT(W$13,"ddd")="Sun",W$13="",$D35=""),"",IF('Leave Planner'!U36="",1,0))</f>
        <v/>
      </c>
      <c r="X35" s="17" t="str">
        <f>IF(OR(TEXT(X$13,"ddd")="Sun",X$13="",$D35=""),"",IF('Leave Planner'!V36="",1,0))</f>
        <v/>
      </c>
      <c r="Y35" s="17" t="str">
        <f>IF(OR(TEXT(Y$13,"ddd")="Sun",Y$13="",$D35=""),"",IF('Leave Planner'!W36="",1,0))</f>
        <v/>
      </c>
      <c r="Z35" s="17" t="str">
        <f>IF(OR(TEXT(Z$13,"ddd")="Sun",Z$13="",$D35=""),"",IF('Leave Planner'!X36="",1,0))</f>
        <v/>
      </c>
      <c r="AA35" s="17" t="str">
        <f>IF(OR(TEXT(AA$13,"ddd")="Sun",AA$13="",$D35=""),"",IF('Leave Planner'!Y36="",1,0))</f>
        <v/>
      </c>
      <c r="AB35" s="17" t="str">
        <f>IF(OR(TEXT(AB$13,"ddd")="Sun",AB$13="",$D35=""),"",IF('Leave Planner'!Z36="",1,0))</f>
        <v/>
      </c>
      <c r="AC35" s="17" t="str">
        <f>IF(OR(TEXT(AC$13,"ddd")="Sun",AC$13="",$D35=""),"",IF('Leave Planner'!AA36="",1,0))</f>
        <v/>
      </c>
      <c r="AD35" s="17" t="str">
        <f>IF(OR(TEXT(AD$13,"ddd")="Sun",AD$13="",$D35=""),"",IF('Leave Planner'!AB36="",1,0))</f>
        <v/>
      </c>
      <c r="AE35" s="17" t="str">
        <f>IF(OR(TEXT(AE$13,"ddd")="Sun",AE$13="",$D35=""),"",IF('Leave Planner'!AC36="",1,0))</f>
        <v/>
      </c>
      <c r="AF35" s="17" t="str">
        <f>IF(OR(TEXT(AF$13,"ddd")="Sun",AF$13="",$D35=""),"",IF('Leave Planner'!AD36="",1,0))</f>
        <v/>
      </c>
      <c r="AG35" s="17" t="str">
        <f>IF(OR(TEXT(AG$13,"ddd")="Sun",AG$13="",$D35=""),"",IF('Leave Planner'!AE36="",1,0))</f>
        <v/>
      </c>
      <c r="AH35" s="17" t="str">
        <f>IF(OR(TEXT(AH$13,"ddd")="Sun",AH$13="",$D35=""),"",IF('Leave Planner'!AF36="",1,0))</f>
        <v/>
      </c>
      <c r="AI35" s="17" t="str">
        <f>IF(OR(TEXT(AI$13,"ddd")="Sun",AI$13="",$D35=""),"",IF('Leave Planner'!AG36="",1,0))</f>
        <v/>
      </c>
      <c r="AJ35" s="17" t="str">
        <f>IF(OR(TEXT(AJ$13,"ddd")="Sun",AJ$13="",$D35=""),"",IF('Leave Planner'!AH36="",1,0))</f>
        <v/>
      </c>
    </row>
    <row r="36" spans="2:36" x14ac:dyDescent="0.75">
      <c r="B36" s="15"/>
      <c r="C36" s="22"/>
      <c r="D36" s="22"/>
      <c r="E36" s="42" t="str">
        <f t="shared" si="5"/>
        <v/>
      </c>
      <c r="F36" s="17" t="str">
        <f>IF(OR(TEXT(F$13,"ddd")="Sun",F$13="",$D36=""),"",IF('Leave Planner'!D37="",1,0))</f>
        <v/>
      </c>
      <c r="G36" s="17" t="str">
        <f>IF(OR(TEXT(G$13,"ddd")="Sun",G$13="",$D36=""),"",IF('Leave Planner'!E37="",1,0))</f>
        <v/>
      </c>
      <c r="H36" s="17" t="str">
        <f>IF(OR(TEXT(H$13,"ddd")="Sun",H$13="",$D36=""),"",IF('Leave Planner'!F37="",1,0))</f>
        <v/>
      </c>
      <c r="I36" s="17" t="str">
        <f>IF(OR(TEXT(I$13,"ddd")="Sun",I$13="",$D36=""),"",IF('Leave Planner'!G37="",1,0))</f>
        <v/>
      </c>
      <c r="J36" s="17" t="str">
        <f>IF(OR(TEXT(J$13,"ddd")="Sun",J$13="",$D36=""),"",IF('Leave Planner'!H37="",1,0))</f>
        <v/>
      </c>
      <c r="K36" s="17" t="str">
        <f>IF(OR(TEXT(K$13,"ddd")="Sun",K$13="",$D36=""),"",IF('Leave Planner'!I37="",1,0))</f>
        <v/>
      </c>
      <c r="L36" s="17" t="str">
        <f>IF(OR(TEXT(L$13,"ddd")="Sun",L$13="",$D36=""),"",IF('Leave Planner'!J37="",1,0))</f>
        <v/>
      </c>
      <c r="M36" s="17" t="str">
        <f>IF(OR(TEXT(M$13,"ddd")="Sun",M$13="",$D36=""),"",IF('Leave Planner'!K37="",1,0))</f>
        <v/>
      </c>
      <c r="N36" s="17" t="str">
        <f>IF(OR(TEXT(N$13,"ddd")="Sun",N$13="",$D36=""),"",IF('Leave Planner'!L37="",1,0))</f>
        <v/>
      </c>
      <c r="O36" s="17" t="str">
        <f>IF(OR(TEXT(O$13,"ddd")="Sun",O$13="",$D36=""),"",IF('Leave Planner'!M37="",1,0))</f>
        <v/>
      </c>
      <c r="P36" s="17" t="str">
        <f>IF(OR(TEXT(P$13,"ddd")="Sun",P$13="",$D36=""),"",IF('Leave Planner'!N37="",1,0))</f>
        <v/>
      </c>
      <c r="Q36" s="17" t="str">
        <f>IF(OR(TEXT(Q$13,"ddd")="Sun",Q$13="",$D36=""),"",IF('Leave Planner'!O37="",1,0))</f>
        <v/>
      </c>
      <c r="R36" s="17" t="str">
        <f>IF(OR(TEXT(R$13,"ddd")="Sun",R$13="",$D36=""),"",IF('Leave Planner'!P37="",1,0))</f>
        <v/>
      </c>
      <c r="S36" s="17" t="str">
        <f>IF(OR(TEXT(S$13,"ddd")="Sun",S$13="",$D36=""),"",IF('Leave Planner'!Q37="",1,0))</f>
        <v/>
      </c>
      <c r="T36" s="17" t="str">
        <f>IF(OR(TEXT(T$13,"ddd")="Sun",T$13="",$D36=""),"",IF('Leave Planner'!R37="",1,0))</f>
        <v/>
      </c>
      <c r="U36" s="17" t="str">
        <f>IF(OR(TEXT(U$13,"ddd")="Sun",U$13="",$D36=""),"",IF('Leave Planner'!S37="",1,0))</f>
        <v/>
      </c>
      <c r="V36" s="17" t="str">
        <f>IF(OR(TEXT(V$13,"ddd")="Sun",V$13="",$D36=""),"",IF('Leave Planner'!T37="",1,0))</f>
        <v/>
      </c>
      <c r="W36" s="17" t="str">
        <f>IF(OR(TEXT(W$13,"ddd")="Sun",W$13="",$D36=""),"",IF('Leave Planner'!U37="",1,0))</f>
        <v/>
      </c>
      <c r="X36" s="17" t="str">
        <f>IF(OR(TEXT(X$13,"ddd")="Sun",X$13="",$D36=""),"",IF('Leave Planner'!V37="",1,0))</f>
        <v/>
      </c>
      <c r="Y36" s="17" t="str">
        <f>IF(OR(TEXT(Y$13,"ddd")="Sun",Y$13="",$D36=""),"",IF('Leave Planner'!W37="",1,0))</f>
        <v/>
      </c>
      <c r="Z36" s="17" t="str">
        <f>IF(OR(TEXT(Z$13,"ddd")="Sun",Z$13="",$D36=""),"",IF('Leave Planner'!X37="",1,0))</f>
        <v/>
      </c>
      <c r="AA36" s="17" t="str">
        <f>IF(OR(TEXT(AA$13,"ddd")="Sun",AA$13="",$D36=""),"",IF('Leave Planner'!Y37="",1,0))</f>
        <v/>
      </c>
      <c r="AB36" s="17" t="str">
        <f>IF(OR(TEXT(AB$13,"ddd")="Sun",AB$13="",$D36=""),"",IF('Leave Planner'!Z37="",1,0))</f>
        <v/>
      </c>
      <c r="AC36" s="17" t="str">
        <f>IF(OR(TEXT(AC$13,"ddd")="Sun",AC$13="",$D36=""),"",IF('Leave Planner'!AA37="",1,0))</f>
        <v/>
      </c>
      <c r="AD36" s="17" t="str">
        <f>IF(OR(TEXT(AD$13,"ddd")="Sun",AD$13="",$D36=""),"",IF('Leave Planner'!AB37="",1,0))</f>
        <v/>
      </c>
      <c r="AE36" s="17" t="str">
        <f>IF(OR(TEXT(AE$13,"ddd")="Sun",AE$13="",$D36=""),"",IF('Leave Planner'!AC37="",1,0))</f>
        <v/>
      </c>
      <c r="AF36" s="17" t="str">
        <f>IF(OR(TEXT(AF$13,"ddd")="Sun",AF$13="",$D36=""),"",IF('Leave Planner'!AD37="",1,0))</f>
        <v/>
      </c>
      <c r="AG36" s="17" t="str">
        <f>IF(OR(TEXT(AG$13,"ddd")="Sun",AG$13="",$D36=""),"",IF('Leave Planner'!AE37="",1,0))</f>
        <v/>
      </c>
      <c r="AH36" s="17" t="str">
        <f>IF(OR(TEXT(AH$13,"ddd")="Sun",AH$13="",$D36=""),"",IF('Leave Planner'!AF37="",1,0))</f>
        <v/>
      </c>
      <c r="AI36" s="17" t="str">
        <f>IF(OR(TEXT(AI$13,"ddd")="Sun",AI$13="",$D36=""),"",IF('Leave Planner'!AG37="",1,0))</f>
        <v/>
      </c>
      <c r="AJ36" s="17" t="str">
        <f>IF(OR(TEXT(AJ$13,"ddd")="Sun",AJ$13="",$D36=""),"",IF('Leave Planner'!AH37="",1,0))</f>
        <v/>
      </c>
    </row>
    <row r="37" spans="2:36" x14ac:dyDescent="0.75">
      <c r="B37" s="15"/>
      <c r="C37" s="22"/>
      <c r="D37" s="22"/>
      <c r="E37" s="42" t="str">
        <f t="shared" si="5"/>
        <v/>
      </c>
      <c r="F37" s="17" t="str">
        <f>IF(OR(TEXT(F$13,"ddd")="Sun",F$13="",$D37=""),"",IF('Leave Planner'!D38="",1,0))</f>
        <v/>
      </c>
      <c r="G37" s="17" t="str">
        <f>IF(OR(TEXT(G$13,"ddd")="Sun",G$13="",$D37=""),"",IF('Leave Planner'!E38="",1,0))</f>
        <v/>
      </c>
      <c r="H37" s="17" t="str">
        <f>IF(OR(TEXT(H$13,"ddd")="Sun",H$13="",$D37=""),"",IF('Leave Planner'!F38="",1,0))</f>
        <v/>
      </c>
      <c r="I37" s="17" t="str">
        <f>IF(OR(TEXT(I$13,"ddd")="Sun",I$13="",$D37=""),"",IF('Leave Planner'!G38="",1,0))</f>
        <v/>
      </c>
      <c r="J37" s="17" t="str">
        <f>IF(OR(TEXT(J$13,"ddd")="Sun",J$13="",$D37=""),"",IF('Leave Planner'!H38="",1,0))</f>
        <v/>
      </c>
      <c r="K37" s="17" t="str">
        <f>IF(OR(TEXT(K$13,"ddd")="Sun",K$13="",$D37=""),"",IF('Leave Planner'!I38="",1,0))</f>
        <v/>
      </c>
      <c r="L37" s="17" t="str">
        <f>IF(OR(TEXT(L$13,"ddd")="Sun",L$13="",$D37=""),"",IF('Leave Planner'!J38="",1,0))</f>
        <v/>
      </c>
      <c r="M37" s="17" t="str">
        <f>IF(OR(TEXT(M$13,"ddd")="Sun",M$13="",$D37=""),"",IF('Leave Planner'!K38="",1,0))</f>
        <v/>
      </c>
      <c r="N37" s="17" t="str">
        <f>IF(OR(TEXT(N$13,"ddd")="Sun",N$13="",$D37=""),"",IF('Leave Planner'!L38="",1,0))</f>
        <v/>
      </c>
      <c r="O37" s="17" t="str">
        <f>IF(OR(TEXT(O$13,"ddd")="Sun",O$13="",$D37=""),"",IF('Leave Planner'!M38="",1,0))</f>
        <v/>
      </c>
      <c r="P37" s="17" t="str">
        <f>IF(OR(TEXT(P$13,"ddd")="Sun",P$13="",$D37=""),"",IF('Leave Planner'!N38="",1,0))</f>
        <v/>
      </c>
      <c r="Q37" s="17" t="str">
        <f>IF(OR(TEXT(Q$13,"ddd")="Sun",Q$13="",$D37=""),"",IF('Leave Planner'!O38="",1,0))</f>
        <v/>
      </c>
      <c r="R37" s="17" t="str">
        <f>IF(OR(TEXT(R$13,"ddd")="Sun",R$13="",$D37=""),"",IF('Leave Planner'!P38="",1,0))</f>
        <v/>
      </c>
      <c r="S37" s="17" t="str">
        <f>IF(OR(TEXT(S$13,"ddd")="Sun",S$13="",$D37=""),"",IF('Leave Planner'!Q38="",1,0))</f>
        <v/>
      </c>
      <c r="T37" s="17" t="str">
        <f>IF(OR(TEXT(T$13,"ddd")="Sun",T$13="",$D37=""),"",IF('Leave Planner'!R38="",1,0))</f>
        <v/>
      </c>
      <c r="U37" s="17" t="str">
        <f>IF(OR(TEXT(U$13,"ddd")="Sun",U$13="",$D37=""),"",IF('Leave Planner'!S38="",1,0))</f>
        <v/>
      </c>
      <c r="V37" s="17" t="str">
        <f>IF(OR(TEXT(V$13,"ddd")="Sun",V$13="",$D37=""),"",IF('Leave Planner'!T38="",1,0))</f>
        <v/>
      </c>
      <c r="W37" s="17" t="str">
        <f>IF(OR(TEXT(W$13,"ddd")="Sun",W$13="",$D37=""),"",IF('Leave Planner'!U38="",1,0))</f>
        <v/>
      </c>
      <c r="X37" s="17" t="str">
        <f>IF(OR(TEXT(X$13,"ddd")="Sun",X$13="",$D37=""),"",IF('Leave Planner'!V38="",1,0))</f>
        <v/>
      </c>
      <c r="Y37" s="17" t="str">
        <f>IF(OR(TEXT(Y$13,"ddd")="Sun",Y$13="",$D37=""),"",IF('Leave Planner'!W38="",1,0))</f>
        <v/>
      </c>
      <c r="Z37" s="17" t="str">
        <f>IF(OR(TEXT(Z$13,"ddd")="Sun",Z$13="",$D37=""),"",IF('Leave Planner'!X38="",1,0))</f>
        <v/>
      </c>
      <c r="AA37" s="17" t="str">
        <f>IF(OR(TEXT(AA$13,"ddd")="Sun",AA$13="",$D37=""),"",IF('Leave Planner'!Y38="",1,0))</f>
        <v/>
      </c>
      <c r="AB37" s="17" t="str">
        <f>IF(OR(TEXT(AB$13,"ddd")="Sun",AB$13="",$D37=""),"",IF('Leave Planner'!Z38="",1,0))</f>
        <v/>
      </c>
      <c r="AC37" s="17" t="str">
        <f>IF(OR(TEXT(AC$13,"ddd")="Sun",AC$13="",$D37=""),"",IF('Leave Planner'!AA38="",1,0))</f>
        <v/>
      </c>
      <c r="AD37" s="17" t="str">
        <f>IF(OR(TEXT(AD$13,"ddd")="Sun",AD$13="",$D37=""),"",IF('Leave Planner'!AB38="",1,0))</f>
        <v/>
      </c>
      <c r="AE37" s="17" t="str">
        <f>IF(OR(TEXT(AE$13,"ddd")="Sun",AE$13="",$D37=""),"",IF('Leave Planner'!AC38="",1,0))</f>
        <v/>
      </c>
      <c r="AF37" s="17" t="str">
        <f>IF(OR(TEXT(AF$13,"ddd")="Sun",AF$13="",$D37=""),"",IF('Leave Planner'!AD38="",1,0))</f>
        <v/>
      </c>
      <c r="AG37" s="17" t="str">
        <f>IF(OR(TEXT(AG$13,"ddd")="Sun",AG$13="",$D37=""),"",IF('Leave Planner'!AE38="",1,0))</f>
        <v/>
      </c>
      <c r="AH37" s="17" t="str">
        <f>IF(OR(TEXT(AH$13,"ddd")="Sun",AH$13="",$D37=""),"",IF('Leave Planner'!AF38="",1,0))</f>
        <v/>
      </c>
      <c r="AI37" s="17" t="str">
        <f>IF(OR(TEXT(AI$13,"ddd")="Sun",AI$13="",$D37=""),"",IF('Leave Planner'!AG38="",1,0))</f>
        <v/>
      </c>
      <c r="AJ37" s="17" t="str">
        <f>IF(OR(TEXT(AJ$13,"ddd")="Sun",AJ$13="",$D37=""),"",IF('Leave Planner'!AH38="",1,0))</f>
        <v/>
      </c>
    </row>
    <row r="38" spans="2:36" x14ac:dyDescent="0.75">
      <c r="B38" s="15"/>
      <c r="C38" s="22"/>
      <c r="D38" s="22"/>
      <c r="E38" s="42" t="str">
        <f t="shared" si="5"/>
        <v/>
      </c>
      <c r="F38" s="17" t="str">
        <f>IF(OR(TEXT(F$13,"ddd")="Sun",F$13="",$D38=""),"",IF('Leave Planner'!D39="",1,0))</f>
        <v/>
      </c>
      <c r="G38" s="17" t="str">
        <f>IF(OR(TEXT(G$13,"ddd")="Sun",G$13="",$D38=""),"",IF('Leave Planner'!E39="",1,0))</f>
        <v/>
      </c>
      <c r="H38" s="17" t="str">
        <f>IF(OR(TEXT(H$13,"ddd")="Sun",H$13="",$D38=""),"",IF('Leave Planner'!F39="",1,0))</f>
        <v/>
      </c>
      <c r="I38" s="17" t="str">
        <f>IF(OR(TEXT(I$13,"ddd")="Sun",I$13="",$D38=""),"",IF('Leave Planner'!G39="",1,0))</f>
        <v/>
      </c>
      <c r="J38" s="17" t="str">
        <f>IF(OR(TEXT(J$13,"ddd")="Sun",J$13="",$D38=""),"",IF('Leave Planner'!H39="",1,0))</f>
        <v/>
      </c>
      <c r="K38" s="17" t="str">
        <f>IF(OR(TEXT(K$13,"ddd")="Sun",K$13="",$D38=""),"",IF('Leave Planner'!I39="",1,0))</f>
        <v/>
      </c>
      <c r="L38" s="17" t="str">
        <f>IF(OR(TEXT(L$13,"ddd")="Sun",L$13="",$D38=""),"",IF('Leave Planner'!J39="",1,0))</f>
        <v/>
      </c>
      <c r="M38" s="17" t="str">
        <f>IF(OR(TEXT(M$13,"ddd")="Sun",M$13="",$D38=""),"",IF('Leave Planner'!K39="",1,0))</f>
        <v/>
      </c>
      <c r="N38" s="17" t="str">
        <f>IF(OR(TEXT(N$13,"ddd")="Sun",N$13="",$D38=""),"",IF('Leave Planner'!L39="",1,0))</f>
        <v/>
      </c>
      <c r="O38" s="17" t="str">
        <f>IF(OR(TEXT(O$13,"ddd")="Sun",O$13="",$D38=""),"",IF('Leave Planner'!M39="",1,0))</f>
        <v/>
      </c>
      <c r="P38" s="17" t="str">
        <f>IF(OR(TEXT(P$13,"ddd")="Sun",P$13="",$D38=""),"",IF('Leave Planner'!N39="",1,0))</f>
        <v/>
      </c>
      <c r="Q38" s="17" t="str">
        <f>IF(OR(TEXT(Q$13,"ddd")="Sun",Q$13="",$D38=""),"",IF('Leave Planner'!O39="",1,0))</f>
        <v/>
      </c>
      <c r="R38" s="17" t="str">
        <f>IF(OR(TEXT(R$13,"ddd")="Sun",R$13="",$D38=""),"",IF('Leave Planner'!P39="",1,0))</f>
        <v/>
      </c>
      <c r="S38" s="17" t="str">
        <f>IF(OR(TEXT(S$13,"ddd")="Sun",S$13="",$D38=""),"",IF('Leave Planner'!Q39="",1,0))</f>
        <v/>
      </c>
      <c r="T38" s="17" t="str">
        <f>IF(OR(TEXT(T$13,"ddd")="Sun",T$13="",$D38=""),"",IF('Leave Planner'!R39="",1,0))</f>
        <v/>
      </c>
      <c r="U38" s="17" t="str">
        <f>IF(OR(TEXT(U$13,"ddd")="Sun",U$13="",$D38=""),"",IF('Leave Planner'!S39="",1,0))</f>
        <v/>
      </c>
      <c r="V38" s="17" t="str">
        <f>IF(OR(TEXT(V$13,"ddd")="Sun",V$13="",$D38=""),"",IF('Leave Planner'!T39="",1,0))</f>
        <v/>
      </c>
      <c r="W38" s="17" t="str">
        <f>IF(OR(TEXT(W$13,"ddd")="Sun",W$13="",$D38=""),"",IF('Leave Planner'!U39="",1,0))</f>
        <v/>
      </c>
      <c r="X38" s="17" t="str">
        <f>IF(OR(TEXT(X$13,"ddd")="Sun",X$13="",$D38=""),"",IF('Leave Planner'!V39="",1,0))</f>
        <v/>
      </c>
      <c r="Y38" s="17" t="str">
        <f>IF(OR(TEXT(Y$13,"ddd")="Sun",Y$13="",$D38=""),"",IF('Leave Planner'!W39="",1,0))</f>
        <v/>
      </c>
      <c r="Z38" s="17" t="str">
        <f>IF(OR(TEXT(Z$13,"ddd")="Sun",Z$13="",$D38=""),"",IF('Leave Planner'!X39="",1,0))</f>
        <v/>
      </c>
      <c r="AA38" s="17" t="str">
        <f>IF(OR(TEXT(AA$13,"ddd")="Sun",AA$13="",$D38=""),"",IF('Leave Planner'!Y39="",1,0))</f>
        <v/>
      </c>
      <c r="AB38" s="17" t="str">
        <f>IF(OR(TEXT(AB$13,"ddd")="Sun",AB$13="",$D38=""),"",IF('Leave Planner'!Z39="",1,0))</f>
        <v/>
      </c>
      <c r="AC38" s="17" t="str">
        <f>IF(OR(TEXT(AC$13,"ddd")="Sun",AC$13="",$D38=""),"",IF('Leave Planner'!AA39="",1,0))</f>
        <v/>
      </c>
      <c r="AD38" s="17" t="str">
        <f>IF(OR(TEXT(AD$13,"ddd")="Sun",AD$13="",$D38=""),"",IF('Leave Planner'!AB39="",1,0))</f>
        <v/>
      </c>
      <c r="AE38" s="17" t="str">
        <f>IF(OR(TEXT(AE$13,"ddd")="Sun",AE$13="",$D38=""),"",IF('Leave Planner'!AC39="",1,0))</f>
        <v/>
      </c>
      <c r="AF38" s="17" t="str">
        <f>IF(OR(TEXT(AF$13,"ddd")="Sun",AF$13="",$D38=""),"",IF('Leave Planner'!AD39="",1,0))</f>
        <v/>
      </c>
      <c r="AG38" s="17" t="str">
        <f>IF(OR(TEXT(AG$13,"ddd")="Sun",AG$13="",$D38=""),"",IF('Leave Planner'!AE39="",1,0))</f>
        <v/>
      </c>
      <c r="AH38" s="17" t="str">
        <f>IF(OR(TEXT(AH$13,"ddd")="Sun",AH$13="",$D38=""),"",IF('Leave Planner'!AF39="",1,0))</f>
        <v/>
      </c>
      <c r="AI38" s="17" t="str">
        <f>IF(OR(TEXT(AI$13,"ddd")="Sun",AI$13="",$D38=""),"",IF('Leave Planner'!AG39="",1,0))</f>
        <v/>
      </c>
      <c r="AJ38" s="17" t="str">
        <f>IF(OR(TEXT(AJ$13,"ddd")="Sun",AJ$13="",$D38=""),"",IF('Leave Planner'!AH39="",1,0))</f>
        <v/>
      </c>
    </row>
    <row r="39" spans="2:36" x14ac:dyDescent="0.75">
      <c r="B39" s="15"/>
      <c r="C39" s="22"/>
      <c r="D39" s="22"/>
      <c r="E39" s="42" t="str">
        <f t="shared" si="5"/>
        <v/>
      </c>
      <c r="F39" s="17" t="str">
        <f>IF(OR(TEXT(F$13,"ddd")="Sun",F$13="",$D39=""),"",IF('Leave Planner'!D40="",1,0))</f>
        <v/>
      </c>
      <c r="G39" s="17" t="str">
        <f>IF(OR(TEXT(G$13,"ddd")="Sun",G$13="",$D39=""),"",IF('Leave Planner'!E40="",1,0))</f>
        <v/>
      </c>
      <c r="H39" s="17" t="str">
        <f>IF(OR(TEXT(H$13,"ddd")="Sun",H$13="",$D39=""),"",IF('Leave Planner'!F40="",1,0))</f>
        <v/>
      </c>
      <c r="I39" s="17" t="str">
        <f>IF(OR(TEXT(I$13,"ddd")="Sun",I$13="",$D39=""),"",IF('Leave Planner'!G40="",1,0))</f>
        <v/>
      </c>
      <c r="J39" s="17" t="str">
        <f>IF(OR(TEXT(J$13,"ddd")="Sun",J$13="",$D39=""),"",IF('Leave Planner'!H40="",1,0))</f>
        <v/>
      </c>
      <c r="K39" s="17" t="str">
        <f>IF(OR(TEXT(K$13,"ddd")="Sun",K$13="",$D39=""),"",IF('Leave Planner'!I40="",1,0))</f>
        <v/>
      </c>
      <c r="L39" s="17" t="str">
        <f>IF(OR(TEXT(L$13,"ddd")="Sun",L$13="",$D39=""),"",IF('Leave Planner'!J40="",1,0))</f>
        <v/>
      </c>
      <c r="M39" s="17" t="str">
        <f>IF(OR(TEXT(M$13,"ddd")="Sun",M$13="",$D39=""),"",IF('Leave Planner'!K40="",1,0))</f>
        <v/>
      </c>
      <c r="N39" s="17" t="str">
        <f>IF(OR(TEXT(N$13,"ddd")="Sun",N$13="",$D39=""),"",IF('Leave Planner'!L40="",1,0))</f>
        <v/>
      </c>
      <c r="O39" s="17" t="str">
        <f>IF(OR(TEXT(O$13,"ddd")="Sun",O$13="",$D39=""),"",IF('Leave Planner'!M40="",1,0))</f>
        <v/>
      </c>
      <c r="P39" s="17" t="str">
        <f>IF(OR(TEXT(P$13,"ddd")="Sun",P$13="",$D39=""),"",IF('Leave Planner'!N40="",1,0))</f>
        <v/>
      </c>
      <c r="Q39" s="17" t="str">
        <f>IF(OR(TEXT(Q$13,"ddd")="Sun",Q$13="",$D39=""),"",IF('Leave Planner'!O40="",1,0))</f>
        <v/>
      </c>
      <c r="R39" s="17" t="str">
        <f>IF(OR(TEXT(R$13,"ddd")="Sun",R$13="",$D39=""),"",IF('Leave Planner'!P40="",1,0))</f>
        <v/>
      </c>
      <c r="S39" s="17" t="str">
        <f>IF(OR(TEXT(S$13,"ddd")="Sun",S$13="",$D39=""),"",IF('Leave Planner'!Q40="",1,0))</f>
        <v/>
      </c>
      <c r="T39" s="17" t="str">
        <f>IF(OR(TEXT(T$13,"ddd")="Sun",T$13="",$D39=""),"",IF('Leave Planner'!R40="",1,0))</f>
        <v/>
      </c>
      <c r="U39" s="17" t="str">
        <f>IF(OR(TEXT(U$13,"ddd")="Sun",U$13="",$D39=""),"",IF('Leave Planner'!S40="",1,0))</f>
        <v/>
      </c>
      <c r="V39" s="17" t="str">
        <f>IF(OR(TEXT(V$13,"ddd")="Sun",V$13="",$D39=""),"",IF('Leave Planner'!T40="",1,0))</f>
        <v/>
      </c>
      <c r="W39" s="17" t="str">
        <f>IF(OR(TEXT(W$13,"ddd")="Sun",W$13="",$D39=""),"",IF('Leave Planner'!U40="",1,0))</f>
        <v/>
      </c>
      <c r="X39" s="17" t="str">
        <f>IF(OR(TEXT(X$13,"ddd")="Sun",X$13="",$D39=""),"",IF('Leave Planner'!V40="",1,0))</f>
        <v/>
      </c>
      <c r="Y39" s="17" t="str">
        <f>IF(OR(TEXT(Y$13,"ddd")="Sun",Y$13="",$D39=""),"",IF('Leave Planner'!W40="",1,0))</f>
        <v/>
      </c>
      <c r="Z39" s="17" t="str">
        <f>IF(OR(TEXT(Z$13,"ddd")="Sun",Z$13="",$D39=""),"",IF('Leave Planner'!X40="",1,0))</f>
        <v/>
      </c>
      <c r="AA39" s="17" t="str">
        <f>IF(OR(TEXT(AA$13,"ddd")="Sun",AA$13="",$D39=""),"",IF('Leave Planner'!Y40="",1,0))</f>
        <v/>
      </c>
      <c r="AB39" s="17" t="str">
        <f>IF(OR(TEXT(AB$13,"ddd")="Sun",AB$13="",$D39=""),"",IF('Leave Planner'!Z40="",1,0))</f>
        <v/>
      </c>
      <c r="AC39" s="17" t="str">
        <f>IF(OR(TEXT(AC$13,"ddd")="Sun",AC$13="",$D39=""),"",IF('Leave Planner'!AA40="",1,0))</f>
        <v/>
      </c>
      <c r="AD39" s="17" t="str">
        <f>IF(OR(TEXT(AD$13,"ddd")="Sun",AD$13="",$D39=""),"",IF('Leave Planner'!AB40="",1,0))</f>
        <v/>
      </c>
      <c r="AE39" s="17" t="str">
        <f>IF(OR(TEXT(AE$13,"ddd")="Sun",AE$13="",$D39=""),"",IF('Leave Planner'!AC40="",1,0))</f>
        <v/>
      </c>
      <c r="AF39" s="17" t="str">
        <f>IF(OR(TEXT(AF$13,"ddd")="Sun",AF$13="",$D39=""),"",IF('Leave Planner'!AD40="",1,0))</f>
        <v/>
      </c>
      <c r="AG39" s="17" t="str">
        <f>IF(OR(TEXT(AG$13,"ddd")="Sun",AG$13="",$D39=""),"",IF('Leave Planner'!AE40="",1,0))</f>
        <v/>
      </c>
      <c r="AH39" s="17" t="str">
        <f>IF(OR(TEXT(AH$13,"ddd")="Sun",AH$13="",$D39=""),"",IF('Leave Planner'!AF40="",1,0))</f>
        <v/>
      </c>
      <c r="AI39" s="17" t="str">
        <f>IF(OR(TEXT(AI$13,"ddd")="Sun",AI$13="",$D39=""),"",IF('Leave Planner'!AG40="",1,0))</f>
        <v/>
      </c>
      <c r="AJ39" s="17" t="str">
        <f>IF(OR(TEXT(AJ$13,"ddd")="Sun",AJ$13="",$D39=""),"",IF('Leave Planner'!AH40="",1,0))</f>
        <v/>
      </c>
    </row>
    <row r="40" spans="2:36" x14ac:dyDescent="0.75">
      <c r="B40" s="15"/>
      <c r="C40" s="22"/>
      <c r="D40" s="22"/>
      <c r="E40" s="42" t="str">
        <f t="shared" si="5"/>
        <v/>
      </c>
      <c r="F40" s="17" t="str">
        <f>IF(OR(TEXT(F$13,"ddd")="Sun",F$13="",$D40=""),"",IF('Leave Planner'!D41="",1,0))</f>
        <v/>
      </c>
      <c r="G40" s="17" t="str">
        <f>IF(OR(TEXT(G$13,"ddd")="Sun",G$13="",$D40=""),"",IF('Leave Planner'!E41="",1,0))</f>
        <v/>
      </c>
      <c r="H40" s="17" t="str">
        <f>IF(OR(TEXT(H$13,"ddd")="Sun",H$13="",$D40=""),"",IF('Leave Planner'!F41="",1,0))</f>
        <v/>
      </c>
      <c r="I40" s="17" t="str">
        <f>IF(OR(TEXT(I$13,"ddd")="Sun",I$13="",$D40=""),"",IF('Leave Planner'!G41="",1,0))</f>
        <v/>
      </c>
      <c r="J40" s="17" t="str">
        <f>IF(OR(TEXT(J$13,"ddd")="Sun",J$13="",$D40=""),"",IF('Leave Planner'!H41="",1,0))</f>
        <v/>
      </c>
      <c r="K40" s="17" t="str">
        <f>IF(OR(TEXT(K$13,"ddd")="Sun",K$13="",$D40=""),"",IF('Leave Planner'!I41="",1,0))</f>
        <v/>
      </c>
      <c r="L40" s="17" t="str">
        <f>IF(OR(TEXT(L$13,"ddd")="Sun",L$13="",$D40=""),"",IF('Leave Planner'!J41="",1,0))</f>
        <v/>
      </c>
      <c r="M40" s="17" t="str">
        <f>IF(OR(TEXT(M$13,"ddd")="Sun",M$13="",$D40=""),"",IF('Leave Planner'!K41="",1,0))</f>
        <v/>
      </c>
      <c r="N40" s="17" t="str">
        <f>IF(OR(TEXT(N$13,"ddd")="Sun",N$13="",$D40=""),"",IF('Leave Planner'!L41="",1,0))</f>
        <v/>
      </c>
      <c r="O40" s="17" t="str">
        <f>IF(OR(TEXT(O$13,"ddd")="Sun",O$13="",$D40=""),"",IF('Leave Planner'!M41="",1,0))</f>
        <v/>
      </c>
      <c r="P40" s="17" t="str">
        <f>IF(OR(TEXT(P$13,"ddd")="Sun",P$13="",$D40=""),"",IF('Leave Planner'!N41="",1,0))</f>
        <v/>
      </c>
      <c r="Q40" s="17" t="str">
        <f>IF(OR(TEXT(Q$13,"ddd")="Sun",Q$13="",$D40=""),"",IF('Leave Planner'!O41="",1,0))</f>
        <v/>
      </c>
      <c r="R40" s="17" t="str">
        <f>IF(OR(TEXT(R$13,"ddd")="Sun",R$13="",$D40=""),"",IF('Leave Planner'!P41="",1,0))</f>
        <v/>
      </c>
      <c r="S40" s="17" t="str">
        <f>IF(OR(TEXT(S$13,"ddd")="Sun",S$13="",$D40=""),"",IF('Leave Planner'!Q41="",1,0))</f>
        <v/>
      </c>
      <c r="T40" s="17" t="str">
        <f>IF(OR(TEXT(T$13,"ddd")="Sun",T$13="",$D40=""),"",IF('Leave Planner'!R41="",1,0))</f>
        <v/>
      </c>
      <c r="U40" s="17" t="str">
        <f>IF(OR(TEXT(U$13,"ddd")="Sun",U$13="",$D40=""),"",IF('Leave Planner'!S41="",1,0))</f>
        <v/>
      </c>
      <c r="V40" s="17" t="str">
        <f>IF(OR(TEXT(V$13,"ddd")="Sun",V$13="",$D40=""),"",IF('Leave Planner'!T41="",1,0))</f>
        <v/>
      </c>
      <c r="W40" s="17" t="str">
        <f>IF(OR(TEXT(W$13,"ddd")="Sun",W$13="",$D40=""),"",IF('Leave Planner'!U41="",1,0))</f>
        <v/>
      </c>
      <c r="X40" s="17" t="str">
        <f>IF(OR(TEXT(X$13,"ddd")="Sun",X$13="",$D40=""),"",IF('Leave Planner'!V41="",1,0))</f>
        <v/>
      </c>
      <c r="Y40" s="17" t="str">
        <f>IF(OR(TEXT(Y$13,"ddd")="Sun",Y$13="",$D40=""),"",IF('Leave Planner'!W41="",1,0))</f>
        <v/>
      </c>
      <c r="Z40" s="17" t="str">
        <f>IF(OR(TEXT(Z$13,"ddd")="Sun",Z$13="",$D40=""),"",IF('Leave Planner'!X41="",1,0))</f>
        <v/>
      </c>
      <c r="AA40" s="17" t="str">
        <f>IF(OR(TEXT(AA$13,"ddd")="Sun",AA$13="",$D40=""),"",IF('Leave Planner'!Y41="",1,0))</f>
        <v/>
      </c>
      <c r="AB40" s="17" t="str">
        <f>IF(OR(TEXT(AB$13,"ddd")="Sun",AB$13="",$D40=""),"",IF('Leave Planner'!Z41="",1,0))</f>
        <v/>
      </c>
      <c r="AC40" s="17" t="str">
        <f>IF(OR(TEXT(AC$13,"ddd")="Sun",AC$13="",$D40=""),"",IF('Leave Planner'!AA41="",1,0))</f>
        <v/>
      </c>
      <c r="AD40" s="17" t="str">
        <f>IF(OR(TEXT(AD$13,"ddd")="Sun",AD$13="",$D40=""),"",IF('Leave Planner'!AB41="",1,0))</f>
        <v/>
      </c>
      <c r="AE40" s="17" t="str">
        <f>IF(OR(TEXT(AE$13,"ddd")="Sun",AE$13="",$D40=""),"",IF('Leave Planner'!AC41="",1,0))</f>
        <v/>
      </c>
      <c r="AF40" s="17" t="str">
        <f>IF(OR(TEXT(AF$13,"ddd")="Sun",AF$13="",$D40=""),"",IF('Leave Planner'!AD41="",1,0))</f>
        <v/>
      </c>
      <c r="AG40" s="17" t="str">
        <f>IF(OR(TEXT(AG$13,"ddd")="Sun",AG$13="",$D40=""),"",IF('Leave Planner'!AE41="",1,0))</f>
        <v/>
      </c>
      <c r="AH40" s="17" t="str">
        <f>IF(OR(TEXT(AH$13,"ddd")="Sun",AH$13="",$D40=""),"",IF('Leave Planner'!AF41="",1,0))</f>
        <v/>
      </c>
      <c r="AI40" s="17" t="str">
        <f>IF(OR(TEXT(AI$13,"ddd")="Sun",AI$13="",$D40=""),"",IF('Leave Planner'!AG41="",1,0))</f>
        <v/>
      </c>
      <c r="AJ40" s="17" t="str">
        <f>IF(OR(TEXT(AJ$13,"ddd")="Sun",AJ$13="",$D40=""),"",IF('Leave Planner'!AH41="",1,0))</f>
        <v/>
      </c>
    </row>
    <row r="41" spans="2:36" x14ac:dyDescent="0.75">
      <c r="B41" s="15"/>
      <c r="C41" s="22"/>
      <c r="D41" s="22"/>
      <c r="E41" s="42" t="str">
        <f t="shared" si="5"/>
        <v/>
      </c>
      <c r="F41" s="17" t="str">
        <f>IF(OR(TEXT(F$13,"ddd")="Sun",F$13="",$D41=""),"",IF('Leave Planner'!D42="",1,0))</f>
        <v/>
      </c>
      <c r="G41" s="17" t="str">
        <f>IF(OR(TEXT(G$13,"ddd")="Sun",G$13="",$D41=""),"",IF('Leave Planner'!E42="",1,0))</f>
        <v/>
      </c>
      <c r="H41" s="17" t="str">
        <f>IF(OR(TEXT(H$13,"ddd")="Sun",H$13="",$D41=""),"",IF('Leave Planner'!F42="",1,0))</f>
        <v/>
      </c>
      <c r="I41" s="17" t="str">
        <f>IF(OR(TEXT(I$13,"ddd")="Sun",I$13="",$D41=""),"",IF('Leave Planner'!G42="",1,0))</f>
        <v/>
      </c>
      <c r="J41" s="17" t="str">
        <f>IF(OR(TEXT(J$13,"ddd")="Sun",J$13="",$D41=""),"",IF('Leave Planner'!H42="",1,0))</f>
        <v/>
      </c>
      <c r="K41" s="17" t="str">
        <f>IF(OR(TEXT(K$13,"ddd")="Sun",K$13="",$D41=""),"",IF('Leave Planner'!I42="",1,0))</f>
        <v/>
      </c>
      <c r="L41" s="17" t="str">
        <f>IF(OR(TEXT(L$13,"ddd")="Sun",L$13="",$D41=""),"",IF('Leave Planner'!J42="",1,0))</f>
        <v/>
      </c>
      <c r="M41" s="17" t="str">
        <f>IF(OR(TEXT(M$13,"ddd")="Sun",M$13="",$D41=""),"",IF('Leave Planner'!K42="",1,0))</f>
        <v/>
      </c>
      <c r="N41" s="17" t="str">
        <f>IF(OR(TEXT(N$13,"ddd")="Sun",N$13="",$D41=""),"",IF('Leave Planner'!L42="",1,0))</f>
        <v/>
      </c>
      <c r="O41" s="17" t="str">
        <f>IF(OR(TEXT(O$13,"ddd")="Sun",O$13="",$D41=""),"",IF('Leave Planner'!M42="",1,0))</f>
        <v/>
      </c>
      <c r="P41" s="17" t="str">
        <f>IF(OR(TEXT(P$13,"ddd")="Sun",P$13="",$D41=""),"",IF('Leave Planner'!N42="",1,0))</f>
        <v/>
      </c>
      <c r="Q41" s="17" t="str">
        <f>IF(OR(TEXT(Q$13,"ddd")="Sun",Q$13="",$D41=""),"",IF('Leave Planner'!O42="",1,0))</f>
        <v/>
      </c>
      <c r="R41" s="17" t="str">
        <f>IF(OR(TEXT(R$13,"ddd")="Sun",R$13="",$D41=""),"",IF('Leave Planner'!P42="",1,0))</f>
        <v/>
      </c>
      <c r="S41" s="17" t="str">
        <f>IF(OR(TEXT(S$13,"ddd")="Sun",S$13="",$D41=""),"",IF('Leave Planner'!Q42="",1,0))</f>
        <v/>
      </c>
      <c r="T41" s="17" t="str">
        <f>IF(OR(TEXT(T$13,"ddd")="Sun",T$13="",$D41=""),"",IF('Leave Planner'!R42="",1,0))</f>
        <v/>
      </c>
      <c r="U41" s="17" t="str">
        <f>IF(OR(TEXT(U$13,"ddd")="Sun",U$13="",$D41=""),"",IF('Leave Planner'!S42="",1,0))</f>
        <v/>
      </c>
      <c r="V41" s="17" t="str">
        <f>IF(OR(TEXT(V$13,"ddd")="Sun",V$13="",$D41=""),"",IF('Leave Planner'!T42="",1,0))</f>
        <v/>
      </c>
      <c r="W41" s="17" t="str">
        <f>IF(OR(TEXT(W$13,"ddd")="Sun",W$13="",$D41=""),"",IF('Leave Planner'!U42="",1,0))</f>
        <v/>
      </c>
      <c r="X41" s="17" t="str">
        <f>IF(OR(TEXT(X$13,"ddd")="Sun",X$13="",$D41=""),"",IF('Leave Planner'!V42="",1,0))</f>
        <v/>
      </c>
      <c r="Y41" s="17" t="str">
        <f>IF(OR(TEXT(Y$13,"ddd")="Sun",Y$13="",$D41=""),"",IF('Leave Planner'!W42="",1,0))</f>
        <v/>
      </c>
      <c r="Z41" s="17" t="str">
        <f>IF(OR(TEXT(Z$13,"ddd")="Sun",Z$13="",$D41=""),"",IF('Leave Planner'!X42="",1,0))</f>
        <v/>
      </c>
      <c r="AA41" s="17" t="str">
        <f>IF(OR(TEXT(AA$13,"ddd")="Sun",AA$13="",$D41=""),"",IF('Leave Planner'!Y42="",1,0))</f>
        <v/>
      </c>
      <c r="AB41" s="17" t="str">
        <f>IF(OR(TEXT(AB$13,"ddd")="Sun",AB$13="",$D41=""),"",IF('Leave Planner'!Z42="",1,0))</f>
        <v/>
      </c>
      <c r="AC41" s="17" t="str">
        <f>IF(OR(TEXT(AC$13,"ddd")="Sun",AC$13="",$D41=""),"",IF('Leave Planner'!AA42="",1,0))</f>
        <v/>
      </c>
      <c r="AD41" s="17" t="str">
        <f>IF(OR(TEXT(AD$13,"ddd")="Sun",AD$13="",$D41=""),"",IF('Leave Planner'!AB42="",1,0))</f>
        <v/>
      </c>
      <c r="AE41" s="17" t="str">
        <f>IF(OR(TEXT(AE$13,"ddd")="Sun",AE$13="",$D41=""),"",IF('Leave Planner'!AC42="",1,0))</f>
        <v/>
      </c>
      <c r="AF41" s="17" t="str">
        <f>IF(OR(TEXT(AF$13,"ddd")="Sun",AF$13="",$D41=""),"",IF('Leave Planner'!AD42="",1,0))</f>
        <v/>
      </c>
      <c r="AG41" s="17" t="str">
        <f>IF(OR(TEXT(AG$13,"ddd")="Sun",AG$13="",$D41=""),"",IF('Leave Planner'!AE42="",1,0))</f>
        <v/>
      </c>
      <c r="AH41" s="17" t="str">
        <f>IF(OR(TEXT(AH$13,"ddd")="Sun",AH$13="",$D41=""),"",IF('Leave Planner'!AF42="",1,0))</f>
        <v/>
      </c>
      <c r="AI41" s="17" t="str">
        <f>IF(OR(TEXT(AI$13,"ddd")="Sun",AI$13="",$D41=""),"",IF('Leave Planner'!AG42="",1,0))</f>
        <v/>
      </c>
      <c r="AJ41" s="17" t="str">
        <f>IF(OR(TEXT(AJ$13,"ddd")="Sun",AJ$13="",$D41=""),"",IF('Leave Planner'!AH42="",1,0))</f>
        <v/>
      </c>
    </row>
    <row r="42" spans="2:36" x14ac:dyDescent="0.75">
      <c r="B42" s="15"/>
      <c r="C42" s="22"/>
      <c r="D42" s="22"/>
      <c r="E42" s="42" t="str">
        <f t="shared" si="5"/>
        <v/>
      </c>
      <c r="F42" s="17" t="str">
        <f>IF(OR(TEXT(F$13,"ddd")="Sun",F$13="",$D42=""),"",IF('Leave Planner'!D43="",1,0))</f>
        <v/>
      </c>
      <c r="G42" s="17" t="str">
        <f>IF(OR(TEXT(G$13,"ddd")="Sun",G$13="",$D42=""),"",IF('Leave Planner'!E43="",1,0))</f>
        <v/>
      </c>
      <c r="H42" s="17" t="str">
        <f>IF(OR(TEXT(H$13,"ddd")="Sun",H$13="",$D42=""),"",IF('Leave Planner'!F43="",1,0))</f>
        <v/>
      </c>
      <c r="I42" s="17" t="str">
        <f>IF(OR(TEXT(I$13,"ddd")="Sun",I$13="",$D42=""),"",IF('Leave Planner'!G43="",1,0))</f>
        <v/>
      </c>
      <c r="J42" s="17" t="str">
        <f>IF(OR(TEXT(J$13,"ddd")="Sun",J$13="",$D42=""),"",IF('Leave Planner'!H43="",1,0))</f>
        <v/>
      </c>
      <c r="K42" s="17" t="str">
        <f>IF(OR(TEXT(K$13,"ddd")="Sun",K$13="",$D42=""),"",IF('Leave Planner'!I43="",1,0))</f>
        <v/>
      </c>
      <c r="L42" s="17" t="str">
        <f>IF(OR(TEXT(L$13,"ddd")="Sun",L$13="",$D42=""),"",IF('Leave Planner'!J43="",1,0))</f>
        <v/>
      </c>
      <c r="M42" s="17" t="str">
        <f>IF(OR(TEXT(M$13,"ddd")="Sun",M$13="",$D42=""),"",IF('Leave Planner'!K43="",1,0))</f>
        <v/>
      </c>
      <c r="N42" s="17" t="str">
        <f>IF(OR(TEXT(N$13,"ddd")="Sun",N$13="",$D42=""),"",IF('Leave Planner'!L43="",1,0))</f>
        <v/>
      </c>
      <c r="O42" s="17" t="str">
        <f>IF(OR(TEXT(O$13,"ddd")="Sun",O$13="",$D42=""),"",IF('Leave Planner'!M43="",1,0))</f>
        <v/>
      </c>
      <c r="P42" s="17" t="str">
        <f>IF(OR(TEXT(P$13,"ddd")="Sun",P$13="",$D42=""),"",IF('Leave Planner'!N43="",1,0))</f>
        <v/>
      </c>
      <c r="Q42" s="17" t="str">
        <f>IF(OR(TEXT(Q$13,"ddd")="Sun",Q$13="",$D42=""),"",IF('Leave Planner'!O43="",1,0))</f>
        <v/>
      </c>
      <c r="R42" s="17" t="str">
        <f>IF(OR(TEXT(R$13,"ddd")="Sun",R$13="",$D42=""),"",IF('Leave Planner'!P43="",1,0))</f>
        <v/>
      </c>
      <c r="S42" s="17" t="str">
        <f>IF(OR(TEXT(S$13,"ddd")="Sun",S$13="",$D42=""),"",IF('Leave Planner'!Q43="",1,0))</f>
        <v/>
      </c>
      <c r="T42" s="17" t="str">
        <f>IF(OR(TEXT(T$13,"ddd")="Sun",T$13="",$D42=""),"",IF('Leave Planner'!R43="",1,0))</f>
        <v/>
      </c>
      <c r="U42" s="17" t="str">
        <f>IF(OR(TEXT(U$13,"ddd")="Sun",U$13="",$D42=""),"",IF('Leave Planner'!S43="",1,0))</f>
        <v/>
      </c>
      <c r="V42" s="17" t="str">
        <f>IF(OR(TEXT(V$13,"ddd")="Sun",V$13="",$D42=""),"",IF('Leave Planner'!T43="",1,0))</f>
        <v/>
      </c>
      <c r="W42" s="17" t="str">
        <f>IF(OR(TEXT(W$13,"ddd")="Sun",W$13="",$D42=""),"",IF('Leave Planner'!U43="",1,0))</f>
        <v/>
      </c>
      <c r="X42" s="17" t="str">
        <f>IF(OR(TEXT(X$13,"ddd")="Sun",X$13="",$D42=""),"",IF('Leave Planner'!V43="",1,0))</f>
        <v/>
      </c>
      <c r="Y42" s="17" t="str">
        <f>IF(OR(TEXT(Y$13,"ddd")="Sun",Y$13="",$D42=""),"",IF('Leave Planner'!W43="",1,0))</f>
        <v/>
      </c>
      <c r="Z42" s="17" t="str">
        <f>IF(OR(TEXT(Z$13,"ddd")="Sun",Z$13="",$D42=""),"",IF('Leave Planner'!X43="",1,0))</f>
        <v/>
      </c>
      <c r="AA42" s="17" t="str">
        <f>IF(OR(TEXT(AA$13,"ddd")="Sun",AA$13="",$D42=""),"",IF('Leave Planner'!Y43="",1,0))</f>
        <v/>
      </c>
      <c r="AB42" s="17" t="str">
        <f>IF(OR(TEXT(AB$13,"ddd")="Sun",AB$13="",$D42=""),"",IF('Leave Planner'!Z43="",1,0))</f>
        <v/>
      </c>
      <c r="AC42" s="17" t="str">
        <f>IF(OR(TEXT(AC$13,"ddd")="Sun",AC$13="",$D42=""),"",IF('Leave Planner'!AA43="",1,0))</f>
        <v/>
      </c>
      <c r="AD42" s="17" t="str">
        <f>IF(OR(TEXT(AD$13,"ddd")="Sun",AD$13="",$D42=""),"",IF('Leave Planner'!AB43="",1,0))</f>
        <v/>
      </c>
      <c r="AE42" s="17" t="str">
        <f>IF(OR(TEXT(AE$13,"ddd")="Sun",AE$13="",$D42=""),"",IF('Leave Planner'!AC43="",1,0))</f>
        <v/>
      </c>
      <c r="AF42" s="17" t="str">
        <f>IF(OR(TEXT(AF$13,"ddd")="Sun",AF$13="",$D42=""),"",IF('Leave Planner'!AD43="",1,0))</f>
        <v/>
      </c>
      <c r="AG42" s="17" t="str">
        <f>IF(OR(TEXT(AG$13,"ddd")="Sun",AG$13="",$D42=""),"",IF('Leave Planner'!AE43="",1,0))</f>
        <v/>
      </c>
      <c r="AH42" s="17" t="str">
        <f>IF(OR(TEXT(AH$13,"ddd")="Sun",AH$13="",$D42=""),"",IF('Leave Planner'!AF43="",1,0))</f>
        <v/>
      </c>
      <c r="AI42" s="17" t="str">
        <f>IF(OR(TEXT(AI$13,"ddd")="Sun",AI$13="",$D42=""),"",IF('Leave Planner'!AG43="",1,0))</f>
        <v/>
      </c>
      <c r="AJ42" s="17" t="str">
        <f>IF(OR(TEXT(AJ$13,"ddd")="Sun",AJ$13="",$D42=""),"",IF('Leave Planner'!AH43="",1,0))</f>
        <v/>
      </c>
    </row>
    <row r="43" spans="2:36" x14ac:dyDescent="0.75">
      <c r="B43" s="15"/>
      <c r="C43" s="22"/>
      <c r="D43" s="22"/>
      <c r="E43" s="42" t="str">
        <f t="shared" si="5"/>
        <v/>
      </c>
      <c r="F43" s="17" t="str">
        <f>IF(OR(TEXT(F$13,"ddd")="Sun",F$13="",$D43=""),"",IF('Leave Planner'!D44="",1,0))</f>
        <v/>
      </c>
      <c r="G43" s="17" t="str">
        <f>IF(OR(TEXT(G$13,"ddd")="Sun",G$13="",$D43=""),"",IF('Leave Planner'!E44="",1,0))</f>
        <v/>
      </c>
      <c r="H43" s="17" t="str">
        <f>IF(OR(TEXT(H$13,"ddd")="Sun",H$13="",$D43=""),"",IF('Leave Planner'!F44="",1,0))</f>
        <v/>
      </c>
      <c r="I43" s="17" t="str">
        <f>IF(OR(TEXT(I$13,"ddd")="Sun",I$13="",$D43=""),"",IF('Leave Planner'!G44="",1,0))</f>
        <v/>
      </c>
      <c r="J43" s="17" t="str">
        <f>IF(OR(TEXT(J$13,"ddd")="Sun",J$13="",$D43=""),"",IF('Leave Planner'!H44="",1,0))</f>
        <v/>
      </c>
      <c r="K43" s="17" t="str">
        <f>IF(OR(TEXT(K$13,"ddd")="Sun",K$13="",$D43=""),"",IF('Leave Planner'!I44="",1,0))</f>
        <v/>
      </c>
      <c r="L43" s="17" t="str">
        <f>IF(OR(TEXT(L$13,"ddd")="Sun",L$13="",$D43=""),"",IF('Leave Planner'!J44="",1,0))</f>
        <v/>
      </c>
      <c r="M43" s="17" t="str">
        <f>IF(OR(TEXT(M$13,"ddd")="Sun",M$13="",$D43=""),"",IF('Leave Planner'!K44="",1,0))</f>
        <v/>
      </c>
      <c r="N43" s="17" t="str">
        <f>IF(OR(TEXT(N$13,"ddd")="Sun",N$13="",$D43=""),"",IF('Leave Planner'!L44="",1,0))</f>
        <v/>
      </c>
      <c r="O43" s="17" t="str">
        <f>IF(OR(TEXT(O$13,"ddd")="Sun",O$13="",$D43=""),"",IF('Leave Planner'!M44="",1,0))</f>
        <v/>
      </c>
      <c r="P43" s="17" t="str">
        <f>IF(OR(TEXT(P$13,"ddd")="Sun",P$13="",$D43=""),"",IF('Leave Planner'!N44="",1,0))</f>
        <v/>
      </c>
      <c r="Q43" s="17" t="str">
        <f>IF(OR(TEXT(Q$13,"ddd")="Sun",Q$13="",$D43=""),"",IF('Leave Planner'!O44="",1,0))</f>
        <v/>
      </c>
      <c r="R43" s="17" t="str">
        <f>IF(OR(TEXT(R$13,"ddd")="Sun",R$13="",$D43=""),"",IF('Leave Planner'!P44="",1,0))</f>
        <v/>
      </c>
      <c r="S43" s="17" t="str">
        <f>IF(OR(TEXT(S$13,"ddd")="Sun",S$13="",$D43=""),"",IF('Leave Planner'!Q44="",1,0))</f>
        <v/>
      </c>
      <c r="T43" s="17" t="str">
        <f>IF(OR(TEXT(T$13,"ddd")="Sun",T$13="",$D43=""),"",IF('Leave Planner'!R44="",1,0))</f>
        <v/>
      </c>
      <c r="U43" s="17" t="str">
        <f>IF(OR(TEXT(U$13,"ddd")="Sun",U$13="",$D43=""),"",IF('Leave Planner'!S44="",1,0))</f>
        <v/>
      </c>
      <c r="V43" s="17" t="str">
        <f>IF(OR(TEXT(V$13,"ddd")="Sun",V$13="",$D43=""),"",IF('Leave Planner'!T44="",1,0))</f>
        <v/>
      </c>
      <c r="W43" s="17" t="str">
        <f>IF(OR(TEXT(W$13,"ddd")="Sun",W$13="",$D43=""),"",IF('Leave Planner'!U44="",1,0))</f>
        <v/>
      </c>
      <c r="X43" s="17" t="str">
        <f>IF(OR(TEXT(X$13,"ddd")="Sun",X$13="",$D43=""),"",IF('Leave Planner'!V44="",1,0))</f>
        <v/>
      </c>
      <c r="Y43" s="17" t="str">
        <f>IF(OR(TEXT(Y$13,"ddd")="Sun",Y$13="",$D43=""),"",IF('Leave Planner'!W44="",1,0))</f>
        <v/>
      </c>
      <c r="Z43" s="17" t="str">
        <f>IF(OR(TEXT(Z$13,"ddd")="Sun",Z$13="",$D43=""),"",IF('Leave Planner'!X44="",1,0))</f>
        <v/>
      </c>
      <c r="AA43" s="17" t="str">
        <f>IF(OR(TEXT(AA$13,"ddd")="Sun",AA$13="",$D43=""),"",IF('Leave Planner'!Y44="",1,0))</f>
        <v/>
      </c>
      <c r="AB43" s="17" t="str">
        <f>IF(OR(TEXT(AB$13,"ddd")="Sun",AB$13="",$D43=""),"",IF('Leave Planner'!Z44="",1,0))</f>
        <v/>
      </c>
      <c r="AC43" s="17" t="str">
        <f>IF(OR(TEXT(AC$13,"ddd")="Sun",AC$13="",$D43=""),"",IF('Leave Planner'!AA44="",1,0))</f>
        <v/>
      </c>
      <c r="AD43" s="17" t="str">
        <f>IF(OR(TEXT(AD$13,"ddd")="Sun",AD$13="",$D43=""),"",IF('Leave Planner'!AB44="",1,0))</f>
        <v/>
      </c>
      <c r="AE43" s="17" t="str">
        <f>IF(OR(TEXT(AE$13,"ddd")="Sun",AE$13="",$D43=""),"",IF('Leave Planner'!AC44="",1,0))</f>
        <v/>
      </c>
      <c r="AF43" s="17" t="str">
        <f>IF(OR(TEXT(AF$13,"ddd")="Sun",AF$13="",$D43=""),"",IF('Leave Planner'!AD44="",1,0))</f>
        <v/>
      </c>
      <c r="AG43" s="17" t="str">
        <f>IF(OR(TEXT(AG$13,"ddd")="Sun",AG$13="",$D43=""),"",IF('Leave Planner'!AE44="",1,0))</f>
        <v/>
      </c>
      <c r="AH43" s="17" t="str">
        <f>IF(OR(TEXT(AH$13,"ddd")="Sun",AH$13="",$D43=""),"",IF('Leave Planner'!AF44="",1,0))</f>
        <v/>
      </c>
      <c r="AI43" s="17" t="str">
        <f>IF(OR(TEXT(AI$13,"ddd")="Sun",AI$13="",$D43=""),"",IF('Leave Planner'!AG44="",1,0))</f>
        <v/>
      </c>
      <c r="AJ43" s="17" t="str">
        <f>IF(OR(TEXT(AJ$13,"ddd")="Sun",AJ$13="",$D43=""),"",IF('Leave Planner'!AH44="",1,0))</f>
        <v/>
      </c>
    </row>
    <row r="44" spans="2:36" x14ac:dyDescent="0.75">
      <c r="B44" s="15"/>
      <c r="C44" s="22"/>
      <c r="D44" s="22"/>
      <c r="E44" s="42" t="str">
        <f t="shared" si="5"/>
        <v/>
      </c>
      <c r="F44" s="17" t="str">
        <f>IF(OR(TEXT(F$13,"ddd")="Sun",F$13="",$D44=""),"",IF('Leave Planner'!D45="",1,0))</f>
        <v/>
      </c>
      <c r="G44" s="17" t="str">
        <f>IF(OR(TEXT(G$13,"ddd")="Sun",G$13="",$D44=""),"",IF('Leave Planner'!E45="",1,0))</f>
        <v/>
      </c>
      <c r="H44" s="17" t="str">
        <f>IF(OR(TEXT(H$13,"ddd")="Sun",H$13="",$D44=""),"",IF('Leave Planner'!F45="",1,0))</f>
        <v/>
      </c>
      <c r="I44" s="17" t="str">
        <f>IF(OR(TEXT(I$13,"ddd")="Sun",I$13="",$D44=""),"",IF('Leave Planner'!G45="",1,0))</f>
        <v/>
      </c>
      <c r="J44" s="17" t="str">
        <f>IF(OR(TEXT(J$13,"ddd")="Sun",J$13="",$D44=""),"",IF('Leave Planner'!H45="",1,0))</f>
        <v/>
      </c>
      <c r="K44" s="17" t="str">
        <f>IF(OR(TEXT(K$13,"ddd")="Sun",K$13="",$D44=""),"",IF('Leave Planner'!I45="",1,0))</f>
        <v/>
      </c>
      <c r="L44" s="17" t="str">
        <f>IF(OR(TEXT(L$13,"ddd")="Sun",L$13="",$D44=""),"",IF('Leave Planner'!J45="",1,0))</f>
        <v/>
      </c>
      <c r="M44" s="17" t="str">
        <f>IF(OR(TEXT(M$13,"ddd")="Sun",M$13="",$D44=""),"",IF('Leave Planner'!K45="",1,0))</f>
        <v/>
      </c>
      <c r="N44" s="17" t="str">
        <f>IF(OR(TEXT(N$13,"ddd")="Sun",N$13="",$D44=""),"",IF('Leave Planner'!L45="",1,0))</f>
        <v/>
      </c>
      <c r="O44" s="17" t="str">
        <f>IF(OR(TEXT(O$13,"ddd")="Sun",O$13="",$D44=""),"",IF('Leave Planner'!M45="",1,0))</f>
        <v/>
      </c>
      <c r="P44" s="17" t="str">
        <f>IF(OR(TEXT(P$13,"ddd")="Sun",P$13="",$D44=""),"",IF('Leave Planner'!N45="",1,0))</f>
        <v/>
      </c>
      <c r="Q44" s="17" t="str">
        <f>IF(OR(TEXT(Q$13,"ddd")="Sun",Q$13="",$D44=""),"",IF('Leave Planner'!O45="",1,0))</f>
        <v/>
      </c>
      <c r="R44" s="17" t="str">
        <f>IF(OR(TEXT(R$13,"ddd")="Sun",R$13="",$D44=""),"",IF('Leave Planner'!P45="",1,0))</f>
        <v/>
      </c>
      <c r="S44" s="17" t="str">
        <f>IF(OR(TEXT(S$13,"ddd")="Sun",S$13="",$D44=""),"",IF('Leave Planner'!Q45="",1,0))</f>
        <v/>
      </c>
      <c r="T44" s="17" t="str">
        <f>IF(OR(TEXT(T$13,"ddd")="Sun",T$13="",$D44=""),"",IF('Leave Planner'!R45="",1,0))</f>
        <v/>
      </c>
      <c r="U44" s="17" t="str">
        <f>IF(OR(TEXT(U$13,"ddd")="Sun",U$13="",$D44=""),"",IF('Leave Planner'!S45="",1,0))</f>
        <v/>
      </c>
      <c r="V44" s="17" t="str">
        <f>IF(OR(TEXT(V$13,"ddd")="Sun",V$13="",$D44=""),"",IF('Leave Planner'!T45="",1,0))</f>
        <v/>
      </c>
      <c r="W44" s="17" t="str">
        <f>IF(OR(TEXT(W$13,"ddd")="Sun",W$13="",$D44=""),"",IF('Leave Planner'!U45="",1,0))</f>
        <v/>
      </c>
      <c r="X44" s="17" t="str">
        <f>IF(OR(TEXT(X$13,"ddd")="Sun",X$13="",$D44=""),"",IF('Leave Planner'!V45="",1,0))</f>
        <v/>
      </c>
      <c r="Y44" s="17" t="str">
        <f>IF(OR(TEXT(Y$13,"ddd")="Sun",Y$13="",$D44=""),"",IF('Leave Planner'!W45="",1,0))</f>
        <v/>
      </c>
      <c r="Z44" s="17" t="str">
        <f>IF(OR(TEXT(Z$13,"ddd")="Sun",Z$13="",$D44=""),"",IF('Leave Planner'!X45="",1,0))</f>
        <v/>
      </c>
      <c r="AA44" s="17" t="str">
        <f>IF(OR(TEXT(AA$13,"ddd")="Sun",AA$13="",$D44=""),"",IF('Leave Planner'!Y45="",1,0))</f>
        <v/>
      </c>
      <c r="AB44" s="17" t="str">
        <f>IF(OR(TEXT(AB$13,"ddd")="Sun",AB$13="",$D44=""),"",IF('Leave Planner'!Z45="",1,0))</f>
        <v/>
      </c>
      <c r="AC44" s="17" t="str">
        <f>IF(OR(TEXT(AC$13,"ddd")="Sun",AC$13="",$D44=""),"",IF('Leave Planner'!AA45="",1,0))</f>
        <v/>
      </c>
      <c r="AD44" s="17" t="str">
        <f>IF(OR(TEXT(AD$13,"ddd")="Sun",AD$13="",$D44=""),"",IF('Leave Planner'!AB45="",1,0))</f>
        <v/>
      </c>
      <c r="AE44" s="17" t="str">
        <f>IF(OR(TEXT(AE$13,"ddd")="Sun",AE$13="",$D44=""),"",IF('Leave Planner'!AC45="",1,0))</f>
        <v/>
      </c>
      <c r="AF44" s="17" t="str">
        <f>IF(OR(TEXT(AF$13,"ddd")="Sun",AF$13="",$D44=""),"",IF('Leave Planner'!AD45="",1,0))</f>
        <v/>
      </c>
      <c r="AG44" s="17" t="str">
        <f>IF(OR(TEXT(AG$13,"ddd")="Sun",AG$13="",$D44=""),"",IF('Leave Planner'!AE45="",1,0))</f>
        <v/>
      </c>
      <c r="AH44" s="17" t="str">
        <f>IF(OR(TEXT(AH$13,"ddd")="Sun",AH$13="",$D44=""),"",IF('Leave Planner'!AF45="",1,0))</f>
        <v/>
      </c>
      <c r="AI44" s="17" t="str">
        <f>IF(OR(TEXT(AI$13,"ddd")="Sun",AI$13="",$D44=""),"",IF('Leave Planner'!AG45="",1,0))</f>
        <v/>
      </c>
      <c r="AJ44" s="17" t="str">
        <f>IF(OR(TEXT(AJ$13,"ddd")="Sun",AJ$13="",$D44=""),"",IF('Leave Planner'!AH45="",1,0))</f>
        <v/>
      </c>
    </row>
    <row r="45" spans="2:36" x14ac:dyDescent="0.75">
      <c r="B45" s="15"/>
      <c r="C45" s="22"/>
      <c r="D45" s="22"/>
      <c r="E45" s="42" t="str">
        <f t="shared" si="5"/>
        <v/>
      </c>
      <c r="F45" s="17" t="str">
        <f>IF(OR(TEXT(F$13,"ddd")="Sun",F$13="",$D45=""),"",IF('Leave Planner'!D46="",1,0))</f>
        <v/>
      </c>
      <c r="G45" s="17" t="str">
        <f>IF(OR(TEXT(G$13,"ddd")="Sun",G$13="",$D45=""),"",IF('Leave Planner'!E46="",1,0))</f>
        <v/>
      </c>
      <c r="H45" s="17" t="str">
        <f>IF(OR(TEXT(H$13,"ddd")="Sun",H$13="",$D45=""),"",IF('Leave Planner'!F46="",1,0))</f>
        <v/>
      </c>
      <c r="I45" s="17" t="str">
        <f>IF(OR(TEXT(I$13,"ddd")="Sun",I$13="",$D45=""),"",IF('Leave Planner'!G46="",1,0))</f>
        <v/>
      </c>
      <c r="J45" s="17" t="str">
        <f>IF(OR(TEXT(J$13,"ddd")="Sun",J$13="",$D45=""),"",IF('Leave Planner'!H46="",1,0))</f>
        <v/>
      </c>
      <c r="K45" s="17" t="str">
        <f>IF(OR(TEXT(K$13,"ddd")="Sun",K$13="",$D45=""),"",IF('Leave Planner'!I46="",1,0))</f>
        <v/>
      </c>
      <c r="L45" s="17" t="str">
        <f>IF(OR(TEXT(L$13,"ddd")="Sun",L$13="",$D45=""),"",IF('Leave Planner'!J46="",1,0))</f>
        <v/>
      </c>
      <c r="M45" s="17" t="str">
        <f>IF(OR(TEXT(M$13,"ddd")="Sun",M$13="",$D45=""),"",IF('Leave Planner'!K46="",1,0))</f>
        <v/>
      </c>
      <c r="N45" s="17" t="str">
        <f>IF(OR(TEXT(N$13,"ddd")="Sun",N$13="",$D45=""),"",IF('Leave Planner'!L46="",1,0))</f>
        <v/>
      </c>
      <c r="O45" s="17" t="str">
        <f>IF(OR(TEXT(O$13,"ddd")="Sun",O$13="",$D45=""),"",IF('Leave Planner'!M46="",1,0))</f>
        <v/>
      </c>
      <c r="P45" s="17" t="str">
        <f>IF(OR(TEXT(P$13,"ddd")="Sun",P$13="",$D45=""),"",IF('Leave Planner'!N46="",1,0))</f>
        <v/>
      </c>
      <c r="Q45" s="17" t="str">
        <f>IF(OR(TEXT(Q$13,"ddd")="Sun",Q$13="",$D45=""),"",IF('Leave Planner'!O46="",1,0))</f>
        <v/>
      </c>
      <c r="R45" s="17" t="str">
        <f>IF(OR(TEXT(R$13,"ddd")="Sun",R$13="",$D45=""),"",IF('Leave Planner'!P46="",1,0))</f>
        <v/>
      </c>
      <c r="S45" s="17" t="str">
        <f>IF(OR(TEXT(S$13,"ddd")="Sun",S$13="",$D45=""),"",IF('Leave Planner'!Q46="",1,0))</f>
        <v/>
      </c>
      <c r="T45" s="17" t="str">
        <f>IF(OR(TEXT(T$13,"ddd")="Sun",T$13="",$D45=""),"",IF('Leave Planner'!R46="",1,0))</f>
        <v/>
      </c>
      <c r="U45" s="17" t="str">
        <f>IF(OR(TEXT(U$13,"ddd")="Sun",U$13="",$D45=""),"",IF('Leave Planner'!S46="",1,0))</f>
        <v/>
      </c>
      <c r="V45" s="17" t="str">
        <f>IF(OR(TEXT(V$13,"ddd")="Sun",V$13="",$D45=""),"",IF('Leave Planner'!T46="",1,0))</f>
        <v/>
      </c>
      <c r="W45" s="17" t="str">
        <f>IF(OR(TEXT(W$13,"ddd")="Sun",W$13="",$D45=""),"",IF('Leave Planner'!U46="",1,0))</f>
        <v/>
      </c>
      <c r="X45" s="17" t="str">
        <f>IF(OR(TEXT(X$13,"ddd")="Sun",X$13="",$D45=""),"",IF('Leave Planner'!V46="",1,0))</f>
        <v/>
      </c>
      <c r="Y45" s="17" t="str">
        <f>IF(OR(TEXT(Y$13,"ddd")="Sun",Y$13="",$D45=""),"",IF('Leave Planner'!W46="",1,0))</f>
        <v/>
      </c>
      <c r="Z45" s="17" t="str">
        <f>IF(OR(TEXT(Z$13,"ddd")="Sun",Z$13="",$D45=""),"",IF('Leave Planner'!X46="",1,0))</f>
        <v/>
      </c>
      <c r="AA45" s="17" t="str">
        <f>IF(OR(TEXT(AA$13,"ddd")="Sun",AA$13="",$D45=""),"",IF('Leave Planner'!Y46="",1,0))</f>
        <v/>
      </c>
      <c r="AB45" s="17" t="str">
        <f>IF(OR(TEXT(AB$13,"ddd")="Sun",AB$13="",$D45=""),"",IF('Leave Planner'!Z46="",1,0))</f>
        <v/>
      </c>
      <c r="AC45" s="17" t="str">
        <f>IF(OR(TEXT(AC$13,"ddd")="Sun",AC$13="",$D45=""),"",IF('Leave Planner'!AA46="",1,0))</f>
        <v/>
      </c>
      <c r="AD45" s="17" t="str">
        <f>IF(OR(TEXT(AD$13,"ddd")="Sun",AD$13="",$D45=""),"",IF('Leave Planner'!AB46="",1,0))</f>
        <v/>
      </c>
      <c r="AE45" s="17" t="str">
        <f>IF(OR(TEXT(AE$13,"ddd")="Sun",AE$13="",$D45=""),"",IF('Leave Planner'!AC46="",1,0))</f>
        <v/>
      </c>
      <c r="AF45" s="17" t="str">
        <f>IF(OR(TEXT(AF$13,"ddd")="Sun",AF$13="",$D45=""),"",IF('Leave Planner'!AD46="",1,0))</f>
        <v/>
      </c>
      <c r="AG45" s="17" t="str">
        <f>IF(OR(TEXT(AG$13,"ddd")="Sun",AG$13="",$D45=""),"",IF('Leave Planner'!AE46="",1,0))</f>
        <v/>
      </c>
      <c r="AH45" s="17" t="str">
        <f>IF(OR(TEXT(AH$13,"ddd")="Sun",AH$13="",$D45=""),"",IF('Leave Planner'!AF46="",1,0))</f>
        <v/>
      </c>
      <c r="AI45" s="17" t="str">
        <f>IF(OR(TEXT(AI$13,"ddd")="Sun",AI$13="",$D45=""),"",IF('Leave Planner'!AG46="",1,0))</f>
        <v/>
      </c>
      <c r="AJ45" s="17" t="str">
        <f>IF(OR(TEXT(AJ$13,"ddd")="Sun",AJ$13="",$D45=""),"",IF('Leave Planner'!AH46="",1,0))</f>
        <v/>
      </c>
    </row>
    <row r="46" spans="2:36" x14ac:dyDescent="0.75">
      <c r="B46" s="15"/>
      <c r="C46" s="22"/>
      <c r="D46" s="22"/>
      <c r="E46" s="42" t="str">
        <f t="shared" si="5"/>
        <v/>
      </c>
      <c r="F46" s="17" t="str">
        <f>IF(OR(TEXT(F$13,"ddd")="Sun",F$13="",$D46=""),"",IF('Leave Planner'!D47="",1,0))</f>
        <v/>
      </c>
      <c r="G46" s="17" t="str">
        <f>IF(OR(TEXT(G$13,"ddd")="Sun",G$13="",$D46=""),"",IF('Leave Planner'!E47="",1,0))</f>
        <v/>
      </c>
      <c r="H46" s="17" t="str">
        <f>IF(OR(TEXT(H$13,"ddd")="Sun",H$13="",$D46=""),"",IF('Leave Planner'!F47="",1,0))</f>
        <v/>
      </c>
      <c r="I46" s="17" t="str">
        <f>IF(OR(TEXT(I$13,"ddd")="Sun",I$13="",$D46=""),"",IF('Leave Planner'!G47="",1,0))</f>
        <v/>
      </c>
      <c r="J46" s="17" t="str">
        <f>IF(OR(TEXT(J$13,"ddd")="Sun",J$13="",$D46=""),"",IF('Leave Planner'!H47="",1,0))</f>
        <v/>
      </c>
      <c r="K46" s="17" t="str">
        <f>IF(OR(TEXT(K$13,"ddd")="Sun",K$13="",$D46=""),"",IF('Leave Planner'!I47="",1,0))</f>
        <v/>
      </c>
      <c r="L46" s="17" t="str">
        <f>IF(OR(TEXT(L$13,"ddd")="Sun",L$13="",$D46=""),"",IF('Leave Planner'!J47="",1,0))</f>
        <v/>
      </c>
      <c r="M46" s="17" t="str">
        <f>IF(OR(TEXT(M$13,"ddd")="Sun",M$13="",$D46=""),"",IF('Leave Planner'!K47="",1,0))</f>
        <v/>
      </c>
      <c r="N46" s="17" t="str">
        <f>IF(OR(TEXT(N$13,"ddd")="Sun",N$13="",$D46=""),"",IF('Leave Planner'!L47="",1,0))</f>
        <v/>
      </c>
      <c r="O46" s="17" t="str">
        <f>IF(OR(TEXT(O$13,"ddd")="Sun",O$13="",$D46=""),"",IF('Leave Planner'!M47="",1,0))</f>
        <v/>
      </c>
      <c r="P46" s="17" t="str">
        <f>IF(OR(TEXT(P$13,"ddd")="Sun",P$13="",$D46=""),"",IF('Leave Planner'!N47="",1,0))</f>
        <v/>
      </c>
      <c r="Q46" s="17" t="str">
        <f>IF(OR(TEXT(Q$13,"ddd")="Sun",Q$13="",$D46=""),"",IF('Leave Planner'!O47="",1,0))</f>
        <v/>
      </c>
      <c r="R46" s="17" t="str">
        <f>IF(OR(TEXT(R$13,"ddd")="Sun",R$13="",$D46=""),"",IF('Leave Planner'!P47="",1,0))</f>
        <v/>
      </c>
      <c r="S46" s="17" t="str">
        <f>IF(OR(TEXT(S$13,"ddd")="Sun",S$13="",$D46=""),"",IF('Leave Planner'!Q47="",1,0))</f>
        <v/>
      </c>
      <c r="T46" s="17" t="str">
        <f>IF(OR(TEXT(T$13,"ddd")="Sun",T$13="",$D46=""),"",IF('Leave Planner'!R47="",1,0))</f>
        <v/>
      </c>
      <c r="U46" s="17" t="str">
        <f>IF(OR(TEXT(U$13,"ddd")="Sun",U$13="",$D46=""),"",IF('Leave Planner'!S47="",1,0))</f>
        <v/>
      </c>
      <c r="V46" s="17" t="str">
        <f>IF(OR(TEXT(V$13,"ddd")="Sun",V$13="",$D46=""),"",IF('Leave Planner'!T47="",1,0))</f>
        <v/>
      </c>
      <c r="W46" s="17" t="str">
        <f>IF(OR(TEXT(W$13,"ddd")="Sun",W$13="",$D46=""),"",IF('Leave Planner'!U47="",1,0))</f>
        <v/>
      </c>
      <c r="X46" s="17" t="str">
        <f>IF(OR(TEXT(X$13,"ddd")="Sun",X$13="",$D46=""),"",IF('Leave Planner'!V47="",1,0))</f>
        <v/>
      </c>
      <c r="Y46" s="17" t="str">
        <f>IF(OR(TEXT(Y$13,"ddd")="Sun",Y$13="",$D46=""),"",IF('Leave Planner'!W47="",1,0))</f>
        <v/>
      </c>
      <c r="Z46" s="17" t="str">
        <f>IF(OR(TEXT(Z$13,"ddd")="Sun",Z$13="",$D46=""),"",IF('Leave Planner'!X47="",1,0))</f>
        <v/>
      </c>
      <c r="AA46" s="17" t="str">
        <f>IF(OR(TEXT(AA$13,"ddd")="Sun",AA$13="",$D46=""),"",IF('Leave Planner'!Y47="",1,0))</f>
        <v/>
      </c>
      <c r="AB46" s="17" t="str">
        <f>IF(OR(TEXT(AB$13,"ddd")="Sun",AB$13="",$D46=""),"",IF('Leave Planner'!Z47="",1,0))</f>
        <v/>
      </c>
      <c r="AC46" s="17" t="str">
        <f>IF(OR(TEXT(AC$13,"ddd")="Sun",AC$13="",$D46=""),"",IF('Leave Planner'!AA47="",1,0))</f>
        <v/>
      </c>
      <c r="AD46" s="17" t="str">
        <f>IF(OR(TEXT(AD$13,"ddd")="Sun",AD$13="",$D46=""),"",IF('Leave Planner'!AB47="",1,0))</f>
        <v/>
      </c>
      <c r="AE46" s="17" t="str">
        <f>IF(OR(TEXT(AE$13,"ddd")="Sun",AE$13="",$D46=""),"",IF('Leave Planner'!AC47="",1,0))</f>
        <v/>
      </c>
      <c r="AF46" s="17" t="str">
        <f>IF(OR(TEXT(AF$13,"ddd")="Sun",AF$13="",$D46=""),"",IF('Leave Planner'!AD47="",1,0))</f>
        <v/>
      </c>
      <c r="AG46" s="17" t="str">
        <f>IF(OR(TEXT(AG$13,"ddd")="Sun",AG$13="",$D46=""),"",IF('Leave Planner'!AE47="",1,0))</f>
        <v/>
      </c>
      <c r="AH46" s="17" t="str">
        <f>IF(OR(TEXT(AH$13,"ddd")="Sun",AH$13="",$D46=""),"",IF('Leave Planner'!AF47="",1,0))</f>
        <v/>
      </c>
      <c r="AI46" s="17" t="str">
        <f>IF(OR(TEXT(AI$13,"ddd")="Sun",AI$13="",$D46=""),"",IF('Leave Planner'!AG47="",1,0))</f>
        <v/>
      </c>
      <c r="AJ46" s="17" t="str">
        <f>IF(OR(TEXT(AJ$13,"ddd")="Sun",AJ$13="",$D46=""),"",IF('Leave Planner'!AH47="",1,0))</f>
        <v/>
      </c>
    </row>
    <row r="47" spans="2:36" x14ac:dyDescent="0.75">
      <c r="B47" s="15"/>
      <c r="C47" s="22"/>
      <c r="D47" s="22"/>
      <c r="E47" s="42" t="str">
        <f t="shared" si="5"/>
        <v/>
      </c>
      <c r="F47" s="17" t="str">
        <f>IF(OR(TEXT(F$13,"ddd")="Sun",F$13="",$D47=""),"",IF('Leave Planner'!D48="",1,0))</f>
        <v/>
      </c>
      <c r="G47" s="17" t="str">
        <f>IF(OR(TEXT(G$13,"ddd")="Sun",G$13="",$D47=""),"",IF('Leave Planner'!E48="",1,0))</f>
        <v/>
      </c>
      <c r="H47" s="17" t="str">
        <f>IF(OR(TEXT(H$13,"ddd")="Sun",H$13="",$D47=""),"",IF('Leave Planner'!F48="",1,0))</f>
        <v/>
      </c>
      <c r="I47" s="17" t="str">
        <f>IF(OR(TEXT(I$13,"ddd")="Sun",I$13="",$D47=""),"",IF('Leave Planner'!G48="",1,0))</f>
        <v/>
      </c>
      <c r="J47" s="17" t="str">
        <f>IF(OR(TEXT(J$13,"ddd")="Sun",J$13="",$D47=""),"",IF('Leave Planner'!H48="",1,0))</f>
        <v/>
      </c>
      <c r="K47" s="17" t="str">
        <f>IF(OR(TEXT(K$13,"ddd")="Sun",K$13="",$D47=""),"",IF('Leave Planner'!I48="",1,0))</f>
        <v/>
      </c>
      <c r="L47" s="17" t="str">
        <f>IF(OR(TEXT(L$13,"ddd")="Sun",L$13="",$D47=""),"",IF('Leave Planner'!J48="",1,0))</f>
        <v/>
      </c>
      <c r="M47" s="17" t="str">
        <f>IF(OR(TEXT(M$13,"ddd")="Sun",M$13="",$D47=""),"",IF('Leave Planner'!K48="",1,0))</f>
        <v/>
      </c>
      <c r="N47" s="17" t="str">
        <f>IF(OR(TEXT(N$13,"ddd")="Sun",N$13="",$D47=""),"",IF('Leave Planner'!L48="",1,0))</f>
        <v/>
      </c>
      <c r="O47" s="17" t="str">
        <f>IF(OR(TEXT(O$13,"ddd")="Sun",O$13="",$D47=""),"",IF('Leave Planner'!M48="",1,0))</f>
        <v/>
      </c>
      <c r="P47" s="17" t="str">
        <f>IF(OR(TEXT(P$13,"ddd")="Sun",P$13="",$D47=""),"",IF('Leave Planner'!N48="",1,0))</f>
        <v/>
      </c>
      <c r="Q47" s="17" t="str">
        <f>IF(OR(TEXT(Q$13,"ddd")="Sun",Q$13="",$D47=""),"",IF('Leave Planner'!O48="",1,0))</f>
        <v/>
      </c>
      <c r="R47" s="17" t="str">
        <f>IF(OR(TEXT(R$13,"ddd")="Sun",R$13="",$D47=""),"",IF('Leave Planner'!P48="",1,0))</f>
        <v/>
      </c>
      <c r="S47" s="17" t="str">
        <f>IF(OR(TEXT(S$13,"ddd")="Sun",S$13="",$D47=""),"",IF('Leave Planner'!Q48="",1,0))</f>
        <v/>
      </c>
      <c r="T47" s="17" t="str">
        <f>IF(OR(TEXT(T$13,"ddd")="Sun",T$13="",$D47=""),"",IF('Leave Planner'!R48="",1,0))</f>
        <v/>
      </c>
      <c r="U47" s="17" t="str">
        <f>IF(OR(TEXT(U$13,"ddd")="Sun",U$13="",$D47=""),"",IF('Leave Planner'!S48="",1,0))</f>
        <v/>
      </c>
      <c r="V47" s="17" t="str">
        <f>IF(OR(TEXT(V$13,"ddd")="Sun",V$13="",$D47=""),"",IF('Leave Planner'!T48="",1,0))</f>
        <v/>
      </c>
      <c r="W47" s="17" t="str">
        <f>IF(OR(TEXT(W$13,"ddd")="Sun",W$13="",$D47=""),"",IF('Leave Planner'!U48="",1,0))</f>
        <v/>
      </c>
      <c r="X47" s="17" t="str">
        <f>IF(OR(TEXT(X$13,"ddd")="Sun",X$13="",$D47=""),"",IF('Leave Planner'!V48="",1,0))</f>
        <v/>
      </c>
      <c r="Y47" s="17" t="str">
        <f>IF(OR(TEXT(Y$13,"ddd")="Sun",Y$13="",$D47=""),"",IF('Leave Planner'!W48="",1,0))</f>
        <v/>
      </c>
      <c r="Z47" s="17" t="str">
        <f>IF(OR(TEXT(Z$13,"ddd")="Sun",Z$13="",$D47=""),"",IF('Leave Planner'!X48="",1,0))</f>
        <v/>
      </c>
      <c r="AA47" s="17" t="str">
        <f>IF(OR(TEXT(AA$13,"ddd")="Sun",AA$13="",$D47=""),"",IF('Leave Planner'!Y48="",1,0))</f>
        <v/>
      </c>
      <c r="AB47" s="17" t="str">
        <f>IF(OR(TEXT(AB$13,"ddd")="Sun",AB$13="",$D47=""),"",IF('Leave Planner'!Z48="",1,0))</f>
        <v/>
      </c>
      <c r="AC47" s="17" t="str">
        <f>IF(OR(TEXT(AC$13,"ddd")="Sun",AC$13="",$D47=""),"",IF('Leave Planner'!AA48="",1,0))</f>
        <v/>
      </c>
      <c r="AD47" s="17" t="str">
        <f>IF(OR(TEXT(AD$13,"ddd")="Sun",AD$13="",$D47=""),"",IF('Leave Planner'!AB48="",1,0))</f>
        <v/>
      </c>
      <c r="AE47" s="17" t="str">
        <f>IF(OR(TEXT(AE$13,"ddd")="Sun",AE$13="",$D47=""),"",IF('Leave Planner'!AC48="",1,0))</f>
        <v/>
      </c>
      <c r="AF47" s="17" t="str">
        <f>IF(OR(TEXT(AF$13,"ddd")="Sun",AF$13="",$D47=""),"",IF('Leave Planner'!AD48="",1,0))</f>
        <v/>
      </c>
      <c r="AG47" s="17" t="str">
        <f>IF(OR(TEXT(AG$13,"ddd")="Sun",AG$13="",$D47=""),"",IF('Leave Planner'!AE48="",1,0))</f>
        <v/>
      </c>
      <c r="AH47" s="17" t="str">
        <f>IF(OR(TEXT(AH$13,"ddd")="Sun",AH$13="",$D47=""),"",IF('Leave Planner'!AF48="",1,0))</f>
        <v/>
      </c>
      <c r="AI47" s="17" t="str">
        <f>IF(OR(TEXT(AI$13,"ddd")="Sun",AI$13="",$D47=""),"",IF('Leave Planner'!AG48="",1,0))</f>
        <v/>
      </c>
      <c r="AJ47" s="17" t="str">
        <f>IF(OR(TEXT(AJ$13,"ddd")="Sun",AJ$13="",$D47=""),"",IF('Leave Planner'!AH48="",1,0))</f>
        <v/>
      </c>
    </row>
    <row r="48" spans="2:36" x14ac:dyDescent="0.75">
      <c r="B48" s="15"/>
      <c r="C48" s="22"/>
      <c r="D48" s="22"/>
      <c r="E48" s="42" t="str">
        <f t="shared" si="5"/>
        <v/>
      </c>
      <c r="F48" s="17" t="str">
        <f>IF(OR(TEXT(F$13,"ddd")="Sun",F$13="",$D48=""),"",IF('Leave Planner'!D49="",1,0))</f>
        <v/>
      </c>
      <c r="G48" s="17" t="str">
        <f>IF(OR(TEXT(G$13,"ddd")="Sun",G$13="",$D48=""),"",IF('Leave Planner'!E49="",1,0))</f>
        <v/>
      </c>
      <c r="H48" s="17" t="str">
        <f>IF(OR(TEXT(H$13,"ddd")="Sun",H$13="",$D48=""),"",IF('Leave Planner'!F49="",1,0))</f>
        <v/>
      </c>
      <c r="I48" s="17" t="str">
        <f>IF(OR(TEXT(I$13,"ddd")="Sun",I$13="",$D48=""),"",IF('Leave Planner'!G49="",1,0))</f>
        <v/>
      </c>
      <c r="J48" s="17" t="str">
        <f>IF(OR(TEXT(J$13,"ddd")="Sun",J$13="",$D48=""),"",IF('Leave Planner'!H49="",1,0))</f>
        <v/>
      </c>
      <c r="K48" s="17" t="str">
        <f>IF(OR(TEXT(K$13,"ddd")="Sun",K$13="",$D48=""),"",IF('Leave Planner'!I49="",1,0))</f>
        <v/>
      </c>
      <c r="L48" s="17" t="str">
        <f>IF(OR(TEXT(L$13,"ddd")="Sun",L$13="",$D48=""),"",IF('Leave Planner'!J49="",1,0))</f>
        <v/>
      </c>
      <c r="M48" s="17" t="str">
        <f>IF(OR(TEXT(M$13,"ddd")="Sun",M$13="",$D48=""),"",IF('Leave Planner'!K49="",1,0))</f>
        <v/>
      </c>
      <c r="N48" s="17" t="str">
        <f>IF(OR(TEXT(N$13,"ddd")="Sun",N$13="",$D48=""),"",IF('Leave Planner'!L49="",1,0))</f>
        <v/>
      </c>
      <c r="O48" s="17" t="str">
        <f>IF(OR(TEXT(O$13,"ddd")="Sun",O$13="",$D48=""),"",IF('Leave Planner'!M49="",1,0))</f>
        <v/>
      </c>
      <c r="P48" s="17" t="str">
        <f>IF(OR(TEXT(P$13,"ddd")="Sun",P$13="",$D48=""),"",IF('Leave Planner'!N49="",1,0))</f>
        <v/>
      </c>
      <c r="Q48" s="17" t="str">
        <f>IF(OR(TEXT(Q$13,"ddd")="Sun",Q$13="",$D48=""),"",IF('Leave Planner'!O49="",1,0))</f>
        <v/>
      </c>
      <c r="R48" s="17" t="str">
        <f>IF(OR(TEXT(R$13,"ddd")="Sun",R$13="",$D48=""),"",IF('Leave Planner'!P49="",1,0))</f>
        <v/>
      </c>
      <c r="S48" s="17" t="str">
        <f>IF(OR(TEXT(S$13,"ddd")="Sun",S$13="",$D48=""),"",IF('Leave Planner'!Q49="",1,0))</f>
        <v/>
      </c>
      <c r="T48" s="17" t="str">
        <f>IF(OR(TEXT(T$13,"ddd")="Sun",T$13="",$D48=""),"",IF('Leave Planner'!R49="",1,0))</f>
        <v/>
      </c>
      <c r="U48" s="17" t="str">
        <f>IF(OR(TEXT(U$13,"ddd")="Sun",U$13="",$D48=""),"",IF('Leave Planner'!S49="",1,0))</f>
        <v/>
      </c>
      <c r="V48" s="17" t="str">
        <f>IF(OR(TEXT(V$13,"ddd")="Sun",V$13="",$D48=""),"",IF('Leave Planner'!T49="",1,0))</f>
        <v/>
      </c>
      <c r="W48" s="17" t="str">
        <f>IF(OR(TEXT(W$13,"ddd")="Sun",W$13="",$D48=""),"",IF('Leave Planner'!U49="",1,0))</f>
        <v/>
      </c>
      <c r="X48" s="17" t="str">
        <f>IF(OR(TEXT(X$13,"ddd")="Sun",X$13="",$D48=""),"",IF('Leave Planner'!V49="",1,0))</f>
        <v/>
      </c>
      <c r="Y48" s="17" t="str">
        <f>IF(OR(TEXT(Y$13,"ddd")="Sun",Y$13="",$D48=""),"",IF('Leave Planner'!W49="",1,0))</f>
        <v/>
      </c>
      <c r="Z48" s="17" t="str">
        <f>IF(OR(TEXT(Z$13,"ddd")="Sun",Z$13="",$D48=""),"",IF('Leave Planner'!X49="",1,0))</f>
        <v/>
      </c>
      <c r="AA48" s="17" t="str">
        <f>IF(OR(TEXT(AA$13,"ddd")="Sun",AA$13="",$D48=""),"",IF('Leave Planner'!Y49="",1,0))</f>
        <v/>
      </c>
      <c r="AB48" s="17" t="str">
        <f>IF(OR(TEXT(AB$13,"ddd")="Sun",AB$13="",$D48=""),"",IF('Leave Planner'!Z49="",1,0))</f>
        <v/>
      </c>
      <c r="AC48" s="17" t="str">
        <f>IF(OR(TEXT(AC$13,"ddd")="Sun",AC$13="",$D48=""),"",IF('Leave Planner'!AA49="",1,0))</f>
        <v/>
      </c>
      <c r="AD48" s="17" t="str">
        <f>IF(OR(TEXT(AD$13,"ddd")="Sun",AD$13="",$D48=""),"",IF('Leave Planner'!AB49="",1,0))</f>
        <v/>
      </c>
      <c r="AE48" s="17" t="str">
        <f>IF(OR(TEXT(AE$13,"ddd")="Sun",AE$13="",$D48=""),"",IF('Leave Planner'!AC49="",1,0))</f>
        <v/>
      </c>
      <c r="AF48" s="17" t="str">
        <f>IF(OR(TEXT(AF$13,"ddd")="Sun",AF$13="",$D48=""),"",IF('Leave Planner'!AD49="",1,0))</f>
        <v/>
      </c>
      <c r="AG48" s="17" t="str">
        <f>IF(OR(TEXT(AG$13,"ddd")="Sun",AG$13="",$D48=""),"",IF('Leave Planner'!AE49="",1,0))</f>
        <v/>
      </c>
      <c r="AH48" s="17" t="str">
        <f>IF(OR(TEXT(AH$13,"ddd")="Sun",AH$13="",$D48=""),"",IF('Leave Planner'!AF49="",1,0))</f>
        <v/>
      </c>
      <c r="AI48" s="17" t="str">
        <f>IF(OR(TEXT(AI$13,"ddd")="Sun",AI$13="",$D48=""),"",IF('Leave Planner'!AG49="",1,0))</f>
        <v/>
      </c>
      <c r="AJ48" s="17" t="str">
        <f>IF(OR(TEXT(AJ$13,"ddd")="Sun",AJ$13="",$D48=""),"",IF('Leave Planner'!AH49="",1,0))</f>
        <v/>
      </c>
    </row>
    <row r="49" spans="2:36" x14ac:dyDescent="0.75">
      <c r="B49" s="15"/>
      <c r="C49" s="22"/>
      <c r="D49" s="22"/>
      <c r="E49" s="42" t="str">
        <f t="shared" si="5"/>
        <v/>
      </c>
      <c r="F49" s="17" t="str">
        <f>IF(OR(TEXT(F$13,"ddd")="Sun",F$13="",$D49=""),"",IF('Leave Planner'!D50="",1,0))</f>
        <v/>
      </c>
      <c r="G49" s="17" t="str">
        <f>IF(OR(TEXT(G$13,"ddd")="Sun",G$13="",$D49=""),"",IF('Leave Planner'!E50="",1,0))</f>
        <v/>
      </c>
      <c r="H49" s="17" t="str">
        <f>IF(OR(TEXT(H$13,"ddd")="Sun",H$13="",$D49=""),"",IF('Leave Planner'!F50="",1,0))</f>
        <v/>
      </c>
      <c r="I49" s="17" t="str">
        <f>IF(OR(TEXT(I$13,"ddd")="Sun",I$13="",$D49=""),"",IF('Leave Planner'!G50="",1,0))</f>
        <v/>
      </c>
      <c r="J49" s="17" t="str">
        <f>IF(OR(TEXT(J$13,"ddd")="Sun",J$13="",$D49=""),"",IF('Leave Planner'!H50="",1,0))</f>
        <v/>
      </c>
      <c r="K49" s="17" t="str">
        <f>IF(OR(TEXT(K$13,"ddd")="Sun",K$13="",$D49=""),"",IF('Leave Planner'!I50="",1,0))</f>
        <v/>
      </c>
      <c r="L49" s="17" t="str">
        <f>IF(OR(TEXT(L$13,"ddd")="Sun",L$13="",$D49=""),"",IF('Leave Planner'!J50="",1,0))</f>
        <v/>
      </c>
      <c r="M49" s="17" t="str">
        <f>IF(OR(TEXT(M$13,"ddd")="Sun",M$13="",$D49=""),"",IF('Leave Planner'!K50="",1,0))</f>
        <v/>
      </c>
      <c r="N49" s="17" t="str">
        <f>IF(OR(TEXT(N$13,"ddd")="Sun",N$13="",$D49=""),"",IF('Leave Planner'!L50="",1,0))</f>
        <v/>
      </c>
      <c r="O49" s="17" t="str">
        <f>IF(OR(TEXT(O$13,"ddd")="Sun",O$13="",$D49=""),"",IF('Leave Planner'!M50="",1,0))</f>
        <v/>
      </c>
      <c r="P49" s="17" t="str">
        <f>IF(OR(TEXT(P$13,"ddd")="Sun",P$13="",$D49=""),"",IF('Leave Planner'!N50="",1,0))</f>
        <v/>
      </c>
      <c r="Q49" s="17" t="str">
        <f>IF(OR(TEXT(Q$13,"ddd")="Sun",Q$13="",$D49=""),"",IF('Leave Planner'!O50="",1,0))</f>
        <v/>
      </c>
      <c r="R49" s="17" t="str">
        <f>IF(OR(TEXT(R$13,"ddd")="Sun",R$13="",$D49=""),"",IF('Leave Planner'!P50="",1,0))</f>
        <v/>
      </c>
      <c r="S49" s="17" t="str">
        <f>IF(OR(TEXT(S$13,"ddd")="Sun",S$13="",$D49=""),"",IF('Leave Planner'!Q50="",1,0))</f>
        <v/>
      </c>
      <c r="T49" s="17" t="str">
        <f>IF(OR(TEXT(T$13,"ddd")="Sun",T$13="",$D49=""),"",IF('Leave Planner'!R50="",1,0))</f>
        <v/>
      </c>
      <c r="U49" s="17" t="str">
        <f>IF(OR(TEXT(U$13,"ddd")="Sun",U$13="",$D49=""),"",IF('Leave Planner'!S50="",1,0))</f>
        <v/>
      </c>
      <c r="V49" s="17" t="str">
        <f>IF(OR(TEXT(V$13,"ddd")="Sun",V$13="",$D49=""),"",IF('Leave Planner'!T50="",1,0))</f>
        <v/>
      </c>
      <c r="W49" s="17" t="str">
        <f>IF(OR(TEXT(W$13,"ddd")="Sun",W$13="",$D49=""),"",IF('Leave Planner'!U50="",1,0))</f>
        <v/>
      </c>
      <c r="X49" s="17" t="str">
        <f>IF(OR(TEXT(X$13,"ddd")="Sun",X$13="",$D49=""),"",IF('Leave Planner'!V50="",1,0))</f>
        <v/>
      </c>
      <c r="Y49" s="17" t="str">
        <f>IF(OR(TEXT(Y$13,"ddd")="Sun",Y$13="",$D49=""),"",IF('Leave Planner'!W50="",1,0))</f>
        <v/>
      </c>
      <c r="Z49" s="17" t="str">
        <f>IF(OR(TEXT(Z$13,"ddd")="Sun",Z$13="",$D49=""),"",IF('Leave Planner'!X50="",1,0))</f>
        <v/>
      </c>
      <c r="AA49" s="17" t="str">
        <f>IF(OR(TEXT(AA$13,"ddd")="Sun",AA$13="",$D49=""),"",IF('Leave Planner'!Y50="",1,0))</f>
        <v/>
      </c>
      <c r="AB49" s="17" t="str">
        <f>IF(OR(TEXT(AB$13,"ddd")="Sun",AB$13="",$D49=""),"",IF('Leave Planner'!Z50="",1,0))</f>
        <v/>
      </c>
      <c r="AC49" s="17" t="str">
        <f>IF(OR(TEXT(AC$13,"ddd")="Sun",AC$13="",$D49=""),"",IF('Leave Planner'!AA50="",1,0))</f>
        <v/>
      </c>
      <c r="AD49" s="17" t="str">
        <f>IF(OR(TEXT(AD$13,"ddd")="Sun",AD$13="",$D49=""),"",IF('Leave Planner'!AB50="",1,0))</f>
        <v/>
      </c>
      <c r="AE49" s="17" t="str">
        <f>IF(OR(TEXT(AE$13,"ddd")="Sun",AE$13="",$D49=""),"",IF('Leave Planner'!AC50="",1,0))</f>
        <v/>
      </c>
      <c r="AF49" s="17" t="str">
        <f>IF(OR(TEXT(AF$13,"ddd")="Sun",AF$13="",$D49=""),"",IF('Leave Planner'!AD50="",1,0))</f>
        <v/>
      </c>
      <c r="AG49" s="17" t="str">
        <f>IF(OR(TEXT(AG$13,"ddd")="Sun",AG$13="",$D49=""),"",IF('Leave Planner'!AE50="",1,0))</f>
        <v/>
      </c>
      <c r="AH49" s="17" t="str">
        <f>IF(OR(TEXT(AH$13,"ddd")="Sun",AH$13="",$D49=""),"",IF('Leave Planner'!AF50="",1,0))</f>
        <v/>
      </c>
      <c r="AI49" s="17" t="str">
        <f>IF(OR(TEXT(AI$13,"ddd")="Sun",AI$13="",$D49=""),"",IF('Leave Planner'!AG50="",1,0))</f>
        <v/>
      </c>
      <c r="AJ49" s="17" t="str">
        <f>IF(OR(TEXT(AJ$13,"ddd")="Sun",AJ$13="",$D49=""),"",IF('Leave Planner'!AH50="",1,0))</f>
        <v/>
      </c>
    </row>
    <row r="50" spans="2:36" x14ac:dyDescent="0.75">
      <c r="B50" s="15"/>
      <c r="C50" s="22"/>
      <c r="D50" s="22"/>
      <c r="E50" s="42" t="str">
        <f t="shared" si="5"/>
        <v/>
      </c>
      <c r="F50" s="17" t="str">
        <f>IF(OR(TEXT(F$13,"ddd")="Sun",F$13="",$D50=""),"",IF('Leave Planner'!D51="",1,0))</f>
        <v/>
      </c>
      <c r="G50" s="17" t="str">
        <f>IF(OR(TEXT(G$13,"ddd")="Sun",G$13="",$D50=""),"",IF('Leave Planner'!E51="",1,0))</f>
        <v/>
      </c>
      <c r="H50" s="17" t="str">
        <f>IF(OR(TEXT(H$13,"ddd")="Sun",H$13="",$D50=""),"",IF('Leave Planner'!F51="",1,0))</f>
        <v/>
      </c>
      <c r="I50" s="17" t="str">
        <f>IF(OR(TEXT(I$13,"ddd")="Sun",I$13="",$D50=""),"",IF('Leave Planner'!G51="",1,0))</f>
        <v/>
      </c>
      <c r="J50" s="17" t="str">
        <f>IF(OR(TEXT(J$13,"ddd")="Sun",J$13="",$D50=""),"",IF('Leave Planner'!H51="",1,0))</f>
        <v/>
      </c>
      <c r="K50" s="17" t="str">
        <f>IF(OR(TEXT(K$13,"ddd")="Sun",K$13="",$D50=""),"",IF('Leave Planner'!I51="",1,0))</f>
        <v/>
      </c>
      <c r="L50" s="17" t="str">
        <f>IF(OR(TEXT(L$13,"ddd")="Sun",L$13="",$D50=""),"",IF('Leave Planner'!J51="",1,0))</f>
        <v/>
      </c>
      <c r="M50" s="17" t="str">
        <f>IF(OR(TEXT(M$13,"ddd")="Sun",M$13="",$D50=""),"",IF('Leave Planner'!K51="",1,0))</f>
        <v/>
      </c>
      <c r="N50" s="17" t="str">
        <f>IF(OR(TEXT(N$13,"ddd")="Sun",N$13="",$D50=""),"",IF('Leave Planner'!L51="",1,0))</f>
        <v/>
      </c>
      <c r="O50" s="17" t="str">
        <f>IF(OR(TEXT(O$13,"ddd")="Sun",O$13="",$D50=""),"",IF('Leave Planner'!M51="",1,0))</f>
        <v/>
      </c>
      <c r="P50" s="17" t="str">
        <f>IF(OR(TEXT(P$13,"ddd")="Sun",P$13="",$D50=""),"",IF('Leave Planner'!N51="",1,0))</f>
        <v/>
      </c>
      <c r="Q50" s="17" t="str">
        <f>IF(OR(TEXT(Q$13,"ddd")="Sun",Q$13="",$D50=""),"",IF('Leave Planner'!O51="",1,0))</f>
        <v/>
      </c>
      <c r="R50" s="17" t="str">
        <f>IF(OR(TEXT(R$13,"ddd")="Sun",R$13="",$D50=""),"",IF('Leave Planner'!P51="",1,0))</f>
        <v/>
      </c>
      <c r="S50" s="17" t="str">
        <f>IF(OR(TEXT(S$13,"ddd")="Sun",S$13="",$D50=""),"",IF('Leave Planner'!Q51="",1,0))</f>
        <v/>
      </c>
      <c r="T50" s="17" t="str">
        <f>IF(OR(TEXT(T$13,"ddd")="Sun",T$13="",$D50=""),"",IF('Leave Planner'!R51="",1,0))</f>
        <v/>
      </c>
      <c r="U50" s="17" t="str">
        <f>IF(OR(TEXT(U$13,"ddd")="Sun",U$13="",$D50=""),"",IF('Leave Planner'!S51="",1,0))</f>
        <v/>
      </c>
      <c r="V50" s="17" t="str">
        <f>IF(OR(TEXT(V$13,"ddd")="Sun",V$13="",$D50=""),"",IF('Leave Planner'!T51="",1,0))</f>
        <v/>
      </c>
      <c r="W50" s="17" t="str">
        <f>IF(OR(TEXT(W$13,"ddd")="Sun",W$13="",$D50=""),"",IF('Leave Planner'!U51="",1,0))</f>
        <v/>
      </c>
      <c r="X50" s="17" t="str">
        <f>IF(OR(TEXT(X$13,"ddd")="Sun",X$13="",$D50=""),"",IF('Leave Planner'!V51="",1,0))</f>
        <v/>
      </c>
      <c r="Y50" s="17" t="str">
        <f>IF(OR(TEXT(Y$13,"ddd")="Sun",Y$13="",$D50=""),"",IF('Leave Planner'!W51="",1,0))</f>
        <v/>
      </c>
      <c r="Z50" s="17" t="str">
        <f>IF(OR(TEXT(Z$13,"ddd")="Sun",Z$13="",$D50=""),"",IF('Leave Planner'!X51="",1,0))</f>
        <v/>
      </c>
      <c r="AA50" s="17" t="str">
        <f>IF(OR(TEXT(AA$13,"ddd")="Sun",AA$13="",$D50=""),"",IF('Leave Planner'!Y51="",1,0))</f>
        <v/>
      </c>
      <c r="AB50" s="17" t="str">
        <f>IF(OR(TEXT(AB$13,"ddd")="Sun",AB$13="",$D50=""),"",IF('Leave Planner'!Z51="",1,0))</f>
        <v/>
      </c>
      <c r="AC50" s="17" t="str">
        <f>IF(OR(TEXT(AC$13,"ddd")="Sun",AC$13="",$D50=""),"",IF('Leave Planner'!AA51="",1,0))</f>
        <v/>
      </c>
      <c r="AD50" s="17" t="str">
        <f>IF(OR(TEXT(AD$13,"ddd")="Sun",AD$13="",$D50=""),"",IF('Leave Planner'!AB51="",1,0))</f>
        <v/>
      </c>
      <c r="AE50" s="17" t="str">
        <f>IF(OR(TEXT(AE$13,"ddd")="Sun",AE$13="",$D50=""),"",IF('Leave Planner'!AC51="",1,0))</f>
        <v/>
      </c>
      <c r="AF50" s="17" t="str">
        <f>IF(OR(TEXT(AF$13,"ddd")="Sun",AF$13="",$D50=""),"",IF('Leave Planner'!AD51="",1,0))</f>
        <v/>
      </c>
      <c r="AG50" s="17" t="str">
        <f>IF(OR(TEXT(AG$13,"ddd")="Sun",AG$13="",$D50=""),"",IF('Leave Planner'!AE51="",1,0))</f>
        <v/>
      </c>
      <c r="AH50" s="17" t="str">
        <f>IF(OR(TEXT(AH$13,"ddd")="Sun",AH$13="",$D50=""),"",IF('Leave Planner'!AF51="",1,0))</f>
        <v/>
      </c>
      <c r="AI50" s="17" t="str">
        <f>IF(OR(TEXT(AI$13,"ddd")="Sun",AI$13="",$D50=""),"",IF('Leave Planner'!AG51="",1,0))</f>
        <v/>
      </c>
      <c r="AJ50" s="17" t="str">
        <f>IF(OR(TEXT(AJ$13,"ddd")="Sun",AJ$13="",$D50=""),"",IF('Leave Planner'!AH51="",1,0))</f>
        <v/>
      </c>
    </row>
    <row r="51" spans="2:36" x14ac:dyDescent="0.75">
      <c r="B51" s="15"/>
      <c r="C51" s="22"/>
      <c r="D51" s="22"/>
      <c r="E51" s="42" t="str">
        <f t="shared" si="5"/>
        <v/>
      </c>
      <c r="F51" s="17" t="str">
        <f>IF(OR(TEXT(F$13,"ddd")="Sun",F$13="",$D51=""),"",IF('Leave Planner'!D52="",1,0))</f>
        <v/>
      </c>
      <c r="G51" s="17" t="str">
        <f>IF(OR(TEXT(G$13,"ddd")="Sun",G$13="",$D51=""),"",IF('Leave Planner'!E52="",1,0))</f>
        <v/>
      </c>
      <c r="H51" s="17" t="str">
        <f>IF(OR(TEXT(H$13,"ddd")="Sun",H$13="",$D51=""),"",IF('Leave Planner'!F52="",1,0))</f>
        <v/>
      </c>
      <c r="I51" s="17" t="str">
        <f>IF(OR(TEXT(I$13,"ddd")="Sun",I$13="",$D51=""),"",IF('Leave Planner'!G52="",1,0))</f>
        <v/>
      </c>
      <c r="J51" s="17" t="str">
        <f>IF(OR(TEXT(J$13,"ddd")="Sun",J$13="",$D51=""),"",IF('Leave Planner'!H52="",1,0))</f>
        <v/>
      </c>
      <c r="K51" s="17" t="str">
        <f>IF(OR(TEXT(K$13,"ddd")="Sun",K$13="",$D51=""),"",IF('Leave Planner'!I52="",1,0))</f>
        <v/>
      </c>
      <c r="L51" s="17" t="str">
        <f>IF(OR(TEXT(L$13,"ddd")="Sun",L$13="",$D51=""),"",IF('Leave Planner'!J52="",1,0))</f>
        <v/>
      </c>
      <c r="M51" s="17" t="str">
        <f>IF(OR(TEXT(M$13,"ddd")="Sun",M$13="",$D51=""),"",IF('Leave Planner'!K52="",1,0))</f>
        <v/>
      </c>
      <c r="N51" s="17" t="str">
        <f>IF(OR(TEXT(N$13,"ddd")="Sun",N$13="",$D51=""),"",IF('Leave Planner'!L52="",1,0))</f>
        <v/>
      </c>
      <c r="O51" s="17" t="str">
        <f>IF(OR(TEXT(O$13,"ddd")="Sun",O$13="",$D51=""),"",IF('Leave Planner'!M52="",1,0))</f>
        <v/>
      </c>
      <c r="P51" s="17" t="str">
        <f>IF(OR(TEXT(P$13,"ddd")="Sun",P$13="",$D51=""),"",IF('Leave Planner'!N52="",1,0))</f>
        <v/>
      </c>
      <c r="Q51" s="17" t="str">
        <f>IF(OR(TEXT(Q$13,"ddd")="Sun",Q$13="",$D51=""),"",IF('Leave Planner'!O52="",1,0))</f>
        <v/>
      </c>
      <c r="R51" s="17" t="str">
        <f>IF(OR(TEXT(R$13,"ddd")="Sun",R$13="",$D51=""),"",IF('Leave Planner'!P52="",1,0))</f>
        <v/>
      </c>
      <c r="S51" s="17" t="str">
        <f>IF(OR(TEXT(S$13,"ddd")="Sun",S$13="",$D51=""),"",IF('Leave Planner'!Q52="",1,0))</f>
        <v/>
      </c>
      <c r="T51" s="17" t="str">
        <f>IF(OR(TEXT(T$13,"ddd")="Sun",T$13="",$D51=""),"",IF('Leave Planner'!R52="",1,0))</f>
        <v/>
      </c>
      <c r="U51" s="17" t="str">
        <f>IF(OR(TEXT(U$13,"ddd")="Sun",U$13="",$D51=""),"",IF('Leave Planner'!S52="",1,0))</f>
        <v/>
      </c>
      <c r="V51" s="17" t="str">
        <f>IF(OR(TEXT(V$13,"ddd")="Sun",V$13="",$D51=""),"",IF('Leave Planner'!T52="",1,0))</f>
        <v/>
      </c>
      <c r="W51" s="17" t="str">
        <f>IF(OR(TEXT(W$13,"ddd")="Sun",W$13="",$D51=""),"",IF('Leave Planner'!U52="",1,0))</f>
        <v/>
      </c>
      <c r="X51" s="17" t="str">
        <f>IF(OR(TEXT(X$13,"ddd")="Sun",X$13="",$D51=""),"",IF('Leave Planner'!V52="",1,0))</f>
        <v/>
      </c>
      <c r="Y51" s="17" t="str">
        <f>IF(OR(TEXT(Y$13,"ddd")="Sun",Y$13="",$D51=""),"",IF('Leave Planner'!W52="",1,0))</f>
        <v/>
      </c>
      <c r="Z51" s="17" t="str">
        <f>IF(OR(TEXT(Z$13,"ddd")="Sun",Z$13="",$D51=""),"",IF('Leave Planner'!X52="",1,0))</f>
        <v/>
      </c>
      <c r="AA51" s="17" t="str">
        <f>IF(OR(TEXT(AA$13,"ddd")="Sun",AA$13="",$D51=""),"",IF('Leave Planner'!Y52="",1,0))</f>
        <v/>
      </c>
      <c r="AB51" s="17" t="str">
        <f>IF(OR(TEXT(AB$13,"ddd")="Sun",AB$13="",$D51=""),"",IF('Leave Planner'!Z52="",1,0))</f>
        <v/>
      </c>
      <c r="AC51" s="17" t="str">
        <f>IF(OR(TEXT(AC$13,"ddd")="Sun",AC$13="",$D51=""),"",IF('Leave Planner'!AA52="",1,0))</f>
        <v/>
      </c>
      <c r="AD51" s="17" t="str">
        <f>IF(OR(TEXT(AD$13,"ddd")="Sun",AD$13="",$D51=""),"",IF('Leave Planner'!AB52="",1,0))</f>
        <v/>
      </c>
      <c r="AE51" s="17" t="str">
        <f>IF(OR(TEXT(AE$13,"ddd")="Sun",AE$13="",$D51=""),"",IF('Leave Planner'!AC52="",1,0))</f>
        <v/>
      </c>
      <c r="AF51" s="17" t="str">
        <f>IF(OR(TEXT(AF$13,"ddd")="Sun",AF$13="",$D51=""),"",IF('Leave Planner'!AD52="",1,0))</f>
        <v/>
      </c>
      <c r="AG51" s="17" t="str">
        <f>IF(OR(TEXT(AG$13,"ddd")="Sun",AG$13="",$D51=""),"",IF('Leave Planner'!AE52="",1,0))</f>
        <v/>
      </c>
      <c r="AH51" s="17" t="str">
        <f>IF(OR(TEXT(AH$13,"ddd")="Sun",AH$13="",$D51=""),"",IF('Leave Planner'!AF52="",1,0))</f>
        <v/>
      </c>
      <c r="AI51" s="17" t="str">
        <f>IF(OR(TEXT(AI$13,"ddd")="Sun",AI$13="",$D51=""),"",IF('Leave Planner'!AG52="",1,0))</f>
        <v/>
      </c>
      <c r="AJ51" s="17" t="str">
        <f>IF(OR(TEXT(AJ$13,"ddd")="Sun",AJ$13="",$D51=""),"",IF('Leave Planner'!AH52="",1,0))</f>
        <v/>
      </c>
    </row>
    <row r="52" spans="2:36" x14ac:dyDescent="0.75">
      <c r="B52" s="15"/>
      <c r="C52" s="22"/>
      <c r="D52" s="22"/>
      <c r="E52" s="42" t="str">
        <f t="shared" si="5"/>
        <v/>
      </c>
      <c r="F52" s="17" t="str">
        <f>IF(OR(TEXT(F$13,"ddd")="Sun",F$13="",$D52=""),"",IF('Leave Planner'!D53="",1,0))</f>
        <v/>
      </c>
      <c r="G52" s="17" t="str">
        <f>IF(OR(TEXT(G$13,"ddd")="Sun",G$13="",$D52=""),"",IF('Leave Planner'!E53="",1,0))</f>
        <v/>
      </c>
      <c r="H52" s="17" t="str">
        <f>IF(OR(TEXT(H$13,"ddd")="Sun",H$13="",$D52=""),"",IF('Leave Planner'!F53="",1,0))</f>
        <v/>
      </c>
      <c r="I52" s="17" t="str">
        <f>IF(OR(TEXT(I$13,"ddd")="Sun",I$13="",$D52=""),"",IF('Leave Planner'!G53="",1,0))</f>
        <v/>
      </c>
      <c r="J52" s="17" t="str">
        <f>IF(OR(TEXT(J$13,"ddd")="Sun",J$13="",$D52=""),"",IF('Leave Planner'!H53="",1,0))</f>
        <v/>
      </c>
      <c r="K52" s="17" t="str">
        <f>IF(OR(TEXT(K$13,"ddd")="Sun",K$13="",$D52=""),"",IF('Leave Planner'!I53="",1,0))</f>
        <v/>
      </c>
      <c r="L52" s="17" t="str">
        <f>IF(OR(TEXT(L$13,"ddd")="Sun",L$13="",$D52=""),"",IF('Leave Planner'!J53="",1,0))</f>
        <v/>
      </c>
      <c r="M52" s="17" t="str">
        <f>IF(OR(TEXT(M$13,"ddd")="Sun",M$13="",$D52=""),"",IF('Leave Planner'!K53="",1,0))</f>
        <v/>
      </c>
      <c r="N52" s="17" t="str">
        <f>IF(OR(TEXT(N$13,"ddd")="Sun",N$13="",$D52=""),"",IF('Leave Planner'!L53="",1,0))</f>
        <v/>
      </c>
      <c r="O52" s="17" t="str">
        <f>IF(OR(TEXT(O$13,"ddd")="Sun",O$13="",$D52=""),"",IF('Leave Planner'!M53="",1,0))</f>
        <v/>
      </c>
      <c r="P52" s="17" t="str">
        <f>IF(OR(TEXT(P$13,"ddd")="Sun",P$13="",$D52=""),"",IF('Leave Planner'!N53="",1,0))</f>
        <v/>
      </c>
      <c r="Q52" s="17" t="str">
        <f>IF(OR(TEXT(Q$13,"ddd")="Sun",Q$13="",$D52=""),"",IF('Leave Planner'!O53="",1,0))</f>
        <v/>
      </c>
      <c r="R52" s="17" t="str">
        <f>IF(OR(TEXT(R$13,"ddd")="Sun",R$13="",$D52=""),"",IF('Leave Planner'!P53="",1,0))</f>
        <v/>
      </c>
      <c r="S52" s="17" t="str">
        <f>IF(OR(TEXT(S$13,"ddd")="Sun",S$13="",$D52=""),"",IF('Leave Planner'!Q53="",1,0))</f>
        <v/>
      </c>
      <c r="T52" s="17" t="str">
        <f>IF(OR(TEXT(T$13,"ddd")="Sun",T$13="",$D52=""),"",IF('Leave Planner'!R53="",1,0))</f>
        <v/>
      </c>
      <c r="U52" s="17" t="str">
        <f>IF(OR(TEXT(U$13,"ddd")="Sun",U$13="",$D52=""),"",IF('Leave Planner'!S53="",1,0))</f>
        <v/>
      </c>
      <c r="V52" s="17" t="str">
        <f>IF(OR(TEXT(V$13,"ddd")="Sun",V$13="",$D52=""),"",IF('Leave Planner'!T53="",1,0))</f>
        <v/>
      </c>
      <c r="W52" s="17" t="str">
        <f>IF(OR(TEXT(W$13,"ddd")="Sun",W$13="",$D52=""),"",IF('Leave Planner'!U53="",1,0))</f>
        <v/>
      </c>
      <c r="X52" s="17" t="str">
        <f>IF(OR(TEXT(X$13,"ddd")="Sun",X$13="",$D52=""),"",IF('Leave Planner'!V53="",1,0))</f>
        <v/>
      </c>
      <c r="Y52" s="17" t="str">
        <f>IF(OR(TEXT(Y$13,"ddd")="Sun",Y$13="",$D52=""),"",IF('Leave Planner'!W53="",1,0))</f>
        <v/>
      </c>
      <c r="Z52" s="17" t="str">
        <f>IF(OR(TEXT(Z$13,"ddd")="Sun",Z$13="",$D52=""),"",IF('Leave Planner'!X53="",1,0))</f>
        <v/>
      </c>
      <c r="AA52" s="17" t="str">
        <f>IF(OR(TEXT(AA$13,"ddd")="Sun",AA$13="",$D52=""),"",IF('Leave Planner'!Y53="",1,0))</f>
        <v/>
      </c>
      <c r="AB52" s="17" t="str">
        <f>IF(OR(TEXT(AB$13,"ddd")="Sun",AB$13="",$D52=""),"",IF('Leave Planner'!Z53="",1,0))</f>
        <v/>
      </c>
      <c r="AC52" s="17" t="str">
        <f>IF(OR(TEXT(AC$13,"ddd")="Sun",AC$13="",$D52=""),"",IF('Leave Planner'!AA53="",1,0))</f>
        <v/>
      </c>
      <c r="AD52" s="17" t="str">
        <f>IF(OR(TEXT(AD$13,"ddd")="Sun",AD$13="",$D52=""),"",IF('Leave Planner'!AB53="",1,0))</f>
        <v/>
      </c>
      <c r="AE52" s="17" t="str">
        <f>IF(OR(TEXT(AE$13,"ddd")="Sun",AE$13="",$D52=""),"",IF('Leave Planner'!AC53="",1,0))</f>
        <v/>
      </c>
      <c r="AF52" s="17" t="str">
        <f>IF(OR(TEXT(AF$13,"ddd")="Sun",AF$13="",$D52=""),"",IF('Leave Planner'!AD53="",1,0))</f>
        <v/>
      </c>
      <c r="AG52" s="17" t="str">
        <f>IF(OR(TEXT(AG$13,"ddd")="Sun",AG$13="",$D52=""),"",IF('Leave Planner'!AE53="",1,0))</f>
        <v/>
      </c>
      <c r="AH52" s="17" t="str">
        <f>IF(OR(TEXT(AH$13,"ddd")="Sun",AH$13="",$D52=""),"",IF('Leave Planner'!AF53="",1,0))</f>
        <v/>
      </c>
      <c r="AI52" s="17" t="str">
        <f>IF(OR(TEXT(AI$13,"ddd")="Sun",AI$13="",$D52=""),"",IF('Leave Planner'!AG53="",1,0))</f>
        <v/>
      </c>
      <c r="AJ52" s="17" t="str">
        <f>IF(OR(TEXT(AJ$13,"ddd")="Sun",AJ$13="",$D52=""),"",IF('Leave Planner'!AH53="",1,0))</f>
        <v/>
      </c>
    </row>
    <row r="53" spans="2:36" x14ac:dyDescent="0.75">
      <c r="B53" s="15"/>
      <c r="C53" s="22"/>
      <c r="D53" s="22"/>
      <c r="E53" s="42" t="str">
        <f t="shared" si="5"/>
        <v/>
      </c>
      <c r="F53" s="17" t="str">
        <f>IF(OR(TEXT(F$13,"ddd")="Sun",F$13="",$D53=""),"",IF('Leave Planner'!D54="",1,0))</f>
        <v/>
      </c>
      <c r="G53" s="17" t="str">
        <f>IF(OR(TEXT(G$13,"ddd")="Sun",G$13="",$D53=""),"",IF('Leave Planner'!E54="",1,0))</f>
        <v/>
      </c>
      <c r="H53" s="17" t="str">
        <f>IF(OR(TEXT(H$13,"ddd")="Sun",H$13="",$D53=""),"",IF('Leave Planner'!F54="",1,0))</f>
        <v/>
      </c>
      <c r="I53" s="17" t="str">
        <f>IF(OR(TEXT(I$13,"ddd")="Sun",I$13="",$D53=""),"",IF('Leave Planner'!G54="",1,0))</f>
        <v/>
      </c>
      <c r="J53" s="17" t="str">
        <f>IF(OR(TEXT(J$13,"ddd")="Sun",J$13="",$D53=""),"",IF('Leave Planner'!H54="",1,0))</f>
        <v/>
      </c>
      <c r="K53" s="17" t="str">
        <f>IF(OR(TEXT(K$13,"ddd")="Sun",K$13="",$D53=""),"",IF('Leave Planner'!I54="",1,0))</f>
        <v/>
      </c>
      <c r="L53" s="17" t="str">
        <f>IF(OR(TEXT(L$13,"ddd")="Sun",L$13="",$D53=""),"",IF('Leave Planner'!J54="",1,0))</f>
        <v/>
      </c>
      <c r="M53" s="17" t="str">
        <f>IF(OR(TEXT(M$13,"ddd")="Sun",M$13="",$D53=""),"",IF('Leave Planner'!K54="",1,0))</f>
        <v/>
      </c>
      <c r="N53" s="17" t="str">
        <f>IF(OR(TEXT(N$13,"ddd")="Sun",N$13="",$D53=""),"",IF('Leave Planner'!L54="",1,0))</f>
        <v/>
      </c>
      <c r="O53" s="17" t="str">
        <f>IF(OR(TEXT(O$13,"ddd")="Sun",O$13="",$D53=""),"",IF('Leave Planner'!M54="",1,0))</f>
        <v/>
      </c>
      <c r="P53" s="17" t="str">
        <f>IF(OR(TEXT(P$13,"ddd")="Sun",P$13="",$D53=""),"",IF('Leave Planner'!N54="",1,0))</f>
        <v/>
      </c>
      <c r="Q53" s="17" t="str">
        <f>IF(OR(TEXT(Q$13,"ddd")="Sun",Q$13="",$D53=""),"",IF('Leave Planner'!O54="",1,0))</f>
        <v/>
      </c>
      <c r="R53" s="17" t="str">
        <f>IF(OR(TEXT(R$13,"ddd")="Sun",R$13="",$D53=""),"",IF('Leave Planner'!P54="",1,0))</f>
        <v/>
      </c>
      <c r="S53" s="17" t="str">
        <f>IF(OR(TEXT(S$13,"ddd")="Sun",S$13="",$D53=""),"",IF('Leave Planner'!Q54="",1,0))</f>
        <v/>
      </c>
      <c r="T53" s="17" t="str">
        <f>IF(OR(TEXT(T$13,"ddd")="Sun",T$13="",$D53=""),"",IF('Leave Planner'!R54="",1,0))</f>
        <v/>
      </c>
      <c r="U53" s="17" t="str">
        <f>IF(OR(TEXT(U$13,"ddd")="Sun",U$13="",$D53=""),"",IF('Leave Planner'!S54="",1,0))</f>
        <v/>
      </c>
      <c r="V53" s="17" t="str">
        <f>IF(OR(TEXT(V$13,"ddd")="Sun",V$13="",$D53=""),"",IF('Leave Planner'!T54="",1,0))</f>
        <v/>
      </c>
      <c r="W53" s="17" t="str">
        <f>IF(OR(TEXT(W$13,"ddd")="Sun",W$13="",$D53=""),"",IF('Leave Planner'!U54="",1,0))</f>
        <v/>
      </c>
      <c r="X53" s="17" t="str">
        <f>IF(OR(TEXT(X$13,"ddd")="Sun",X$13="",$D53=""),"",IF('Leave Planner'!V54="",1,0))</f>
        <v/>
      </c>
      <c r="Y53" s="17" t="str">
        <f>IF(OR(TEXT(Y$13,"ddd")="Sun",Y$13="",$D53=""),"",IF('Leave Planner'!W54="",1,0))</f>
        <v/>
      </c>
      <c r="Z53" s="17" t="str">
        <f>IF(OR(TEXT(Z$13,"ddd")="Sun",Z$13="",$D53=""),"",IF('Leave Planner'!X54="",1,0))</f>
        <v/>
      </c>
      <c r="AA53" s="17" t="str">
        <f>IF(OR(TEXT(AA$13,"ddd")="Sun",AA$13="",$D53=""),"",IF('Leave Planner'!Y54="",1,0))</f>
        <v/>
      </c>
      <c r="AB53" s="17" t="str">
        <f>IF(OR(TEXT(AB$13,"ddd")="Sun",AB$13="",$D53=""),"",IF('Leave Planner'!Z54="",1,0))</f>
        <v/>
      </c>
      <c r="AC53" s="17" t="str">
        <f>IF(OR(TEXT(AC$13,"ddd")="Sun",AC$13="",$D53=""),"",IF('Leave Planner'!AA54="",1,0))</f>
        <v/>
      </c>
      <c r="AD53" s="17" t="str">
        <f>IF(OR(TEXT(AD$13,"ddd")="Sun",AD$13="",$D53=""),"",IF('Leave Planner'!AB54="",1,0))</f>
        <v/>
      </c>
      <c r="AE53" s="17" t="str">
        <f>IF(OR(TEXT(AE$13,"ddd")="Sun",AE$13="",$D53=""),"",IF('Leave Planner'!AC54="",1,0))</f>
        <v/>
      </c>
      <c r="AF53" s="17" t="str">
        <f>IF(OR(TEXT(AF$13,"ddd")="Sun",AF$13="",$D53=""),"",IF('Leave Planner'!AD54="",1,0))</f>
        <v/>
      </c>
      <c r="AG53" s="17" t="str">
        <f>IF(OR(TEXT(AG$13,"ddd")="Sun",AG$13="",$D53=""),"",IF('Leave Planner'!AE54="",1,0))</f>
        <v/>
      </c>
      <c r="AH53" s="17" t="str">
        <f>IF(OR(TEXT(AH$13,"ddd")="Sun",AH$13="",$D53=""),"",IF('Leave Planner'!AF54="",1,0))</f>
        <v/>
      </c>
      <c r="AI53" s="17" t="str">
        <f>IF(OR(TEXT(AI$13,"ddd")="Sun",AI$13="",$D53=""),"",IF('Leave Planner'!AG54="",1,0))</f>
        <v/>
      </c>
      <c r="AJ53" s="17" t="str">
        <f>IF(OR(TEXT(AJ$13,"ddd")="Sun",AJ$13="",$D53=""),"",IF('Leave Planner'!AH54="",1,0))</f>
        <v/>
      </c>
    </row>
    <row r="54" spans="2:36" x14ac:dyDescent="0.75">
      <c r="B54" s="15"/>
      <c r="C54" s="22"/>
      <c r="D54" s="22"/>
      <c r="E54" s="42" t="str">
        <f t="shared" si="5"/>
        <v/>
      </c>
      <c r="F54" s="17" t="str">
        <f>IF(OR(TEXT(F$13,"ddd")="Sun",F$13="",$D54=""),"",IF('Leave Planner'!D55="",1,0))</f>
        <v/>
      </c>
      <c r="G54" s="17" t="str">
        <f>IF(OR(TEXT(G$13,"ddd")="Sun",G$13="",$D54=""),"",IF('Leave Planner'!E55="",1,0))</f>
        <v/>
      </c>
      <c r="H54" s="17" t="str">
        <f>IF(OR(TEXT(H$13,"ddd")="Sun",H$13="",$D54=""),"",IF('Leave Planner'!F55="",1,0))</f>
        <v/>
      </c>
      <c r="I54" s="17" t="str">
        <f>IF(OR(TEXT(I$13,"ddd")="Sun",I$13="",$D54=""),"",IF('Leave Planner'!G55="",1,0))</f>
        <v/>
      </c>
      <c r="J54" s="17" t="str">
        <f>IF(OR(TEXT(J$13,"ddd")="Sun",J$13="",$D54=""),"",IF('Leave Planner'!H55="",1,0))</f>
        <v/>
      </c>
      <c r="K54" s="17" t="str">
        <f>IF(OR(TEXT(K$13,"ddd")="Sun",K$13="",$D54=""),"",IF('Leave Planner'!I55="",1,0))</f>
        <v/>
      </c>
      <c r="L54" s="17" t="str">
        <f>IF(OR(TEXT(L$13,"ddd")="Sun",L$13="",$D54=""),"",IF('Leave Planner'!J55="",1,0))</f>
        <v/>
      </c>
      <c r="M54" s="17" t="str">
        <f>IF(OR(TEXT(M$13,"ddd")="Sun",M$13="",$D54=""),"",IF('Leave Planner'!K55="",1,0))</f>
        <v/>
      </c>
      <c r="N54" s="17" t="str">
        <f>IF(OR(TEXT(N$13,"ddd")="Sun",N$13="",$D54=""),"",IF('Leave Planner'!L55="",1,0))</f>
        <v/>
      </c>
      <c r="O54" s="17" t="str">
        <f>IF(OR(TEXT(O$13,"ddd")="Sun",O$13="",$D54=""),"",IF('Leave Planner'!M55="",1,0))</f>
        <v/>
      </c>
      <c r="P54" s="17" t="str">
        <f>IF(OR(TEXT(P$13,"ddd")="Sun",P$13="",$D54=""),"",IF('Leave Planner'!N55="",1,0))</f>
        <v/>
      </c>
      <c r="Q54" s="17" t="str">
        <f>IF(OR(TEXT(Q$13,"ddd")="Sun",Q$13="",$D54=""),"",IF('Leave Planner'!O55="",1,0))</f>
        <v/>
      </c>
      <c r="R54" s="17" t="str">
        <f>IF(OR(TEXT(R$13,"ddd")="Sun",R$13="",$D54=""),"",IF('Leave Planner'!P55="",1,0))</f>
        <v/>
      </c>
      <c r="S54" s="17" t="str">
        <f>IF(OR(TEXT(S$13,"ddd")="Sun",S$13="",$D54=""),"",IF('Leave Planner'!Q55="",1,0))</f>
        <v/>
      </c>
      <c r="T54" s="17" t="str">
        <f>IF(OR(TEXT(T$13,"ddd")="Sun",T$13="",$D54=""),"",IF('Leave Planner'!R55="",1,0))</f>
        <v/>
      </c>
      <c r="U54" s="17" t="str">
        <f>IF(OR(TEXT(U$13,"ddd")="Sun",U$13="",$D54=""),"",IF('Leave Planner'!S55="",1,0))</f>
        <v/>
      </c>
      <c r="V54" s="17" t="str">
        <f>IF(OR(TEXT(V$13,"ddd")="Sun",V$13="",$D54=""),"",IF('Leave Planner'!T55="",1,0))</f>
        <v/>
      </c>
      <c r="W54" s="17" t="str">
        <f>IF(OR(TEXT(W$13,"ddd")="Sun",W$13="",$D54=""),"",IF('Leave Planner'!U55="",1,0))</f>
        <v/>
      </c>
      <c r="X54" s="17" t="str">
        <f>IF(OR(TEXT(X$13,"ddd")="Sun",X$13="",$D54=""),"",IF('Leave Planner'!V55="",1,0))</f>
        <v/>
      </c>
      <c r="Y54" s="17" t="str">
        <f>IF(OR(TEXT(Y$13,"ddd")="Sun",Y$13="",$D54=""),"",IF('Leave Planner'!W55="",1,0))</f>
        <v/>
      </c>
      <c r="Z54" s="17" t="str">
        <f>IF(OR(TEXT(Z$13,"ddd")="Sun",Z$13="",$D54=""),"",IF('Leave Planner'!X55="",1,0))</f>
        <v/>
      </c>
      <c r="AA54" s="17" t="str">
        <f>IF(OR(TEXT(AA$13,"ddd")="Sun",AA$13="",$D54=""),"",IF('Leave Planner'!Y55="",1,0))</f>
        <v/>
      </c>
      <c r="AB54" s="17" t="str">
        <f>IF(OR(TEXT(AB$13,"ddd")="Sun",AB$13="",$D54=""),"",IF('Leave Planner'!Z55="",1,0))</f>
        <v/>
      </c>
      <c r="AC54" s="17" t="str">
        <f>IF(OR(TEXT(AC$13,"ddd")="Sun",AC$13="",$D54=""),"",IF('Leave Planner'!AA55="",1,0))</f>
        <v/>
      </c>
      <c r="AD54" s="17" t="str">
        <f>IF(OR(TEXT(AD$13,"ddd")="Sun",AD$13="",$D54=""),"",IF('Leave Planner'!AB55="",1,0))</f>
        <v/>
      </c>
      <c r="AE54" s="17" t="str">
        <f>IF(OR(TEXT(AE$13,"ddd")="Sun",AE$13="",$D54=""),"",IF('Leave Planner'!AC55="",1,0))</f>
        <v/>
      </c>
      <c r="AF54" s="17" t="str">
        <f>IF(OR(TEXT(AF$13,"ddd")="Sun",AF$13="",$D54=""),"",IF('Leave Planner'!AD55="",1,0))</f>
        <v/>
      </c>
      <c r="AG54" s="17" t="str">
        <f>IF(OR(TEXT(AG$13,"ddd")="Sun",AG$13="",$D54=""),"",IF('Leave Planner'!AE55="",1,0))</f>
        <v/>
      </c>
      <c r="AH54" s="17" t="str">
        <f>IF(OR(TEXT(AH$13,"ddd")="Sun",AH$13="",$D54=""),"",IF('Leave Planner'!AF55="",1,0))</f>
        <v/>
      </c>
      <c r="AI54" s="17" t="str">
        <f>IF(OR(TEXT(AI$13,"ddd")="Sun",AI$13="",$D54=""),"",IF('Leave Planner'!AG55="",1,0))</f>
        <v/>
      </c>
      <c r="AJ54" s="17" t="str">
        <f>IF(OR(TEXT(AJ$13,"ddd")="Sun",AJ$13="",$D54=""),"",IF('Leave Planner'!AH55="",1,0))</f>
        <v/>
      </c>
    </row>
    <row r="55" spans="2:36" x14ac:dyDescent="0.75">
      <c r="B55" s="15"/>
      <c r="C55" s="22"/>
      <c r="D55" s="22"/>
      <c r="E55" s="42" t="str">
        <f t="shared" si="5"/>
        <v/>
      </c>
      <c r="F55" s="17" t="str">
        <f>IF(OR(TEXT(F$13,"ddd")="Sun",F$13="",$D55=""),"",IF('Leave Planner'!D56="",1,0))</f>
        <v/>
      </c>
      <c r="G55" s="17" t="str">
        <f>IF(OR(TEXT(G$13,"ddd")="Sun",G$13="",$D55=""),"",IF('Leave Planner'!E56="",1,0))</f>
        <v/>
      </c>
      <c r="H55" s="17" t="str">
        <f>IF(OR(TEXT(H$13,"ddd")="Sun",H$13="",$D55=""),"",IF('Leave Planner'!F56="",1,0))</f>
        <v/>
      </c>
      <c r="I55" s="17" t="str">
        <f>IF(OR(TEXT(I$13,"ddd")="Sun",I$13="",$D55=""),"",IF('Leave Planner'!G56="",1,0))</f>
        <v/>
      </c>
      <c r="J55" s="17" t="str">
        <f>IF(OR(TEXT(J$13,"ddd")="Sun",J$13="",$D55=""),"",IF('Leave Planner'!H56="",1,0))</f>
        <v/>
      </c>
      <c r="K55" s="17" t="str">
        <f>IF(OR(TEXT(K$13,"ddd")="Sun",K$13="",$D55=""),"",IF('Leave Planner'!I56="",1,0))</f>
        <v/>
      </c>
      <c r="L55" s="17" t="str">
        <f>IF(OR(TEXT(L$13,"ddd")="Sun",L$13="",$D55=""),"",IF('Leave Planner'!J56="",1,0))</f>
        <v/>
      </c>
      <c r="M55" s="17" t="str">
        <f>IF(OR(TEXT(M$13,"ddd")="Sun",M$13="",$D55=""),"",IF('Leave Planner'!K56="",1,0))</f>
        <v/>
      </c>
      <c r="N55" s="17" t="str">
        <f>IF(OR(TEXT(N$13,"ddd")="Sun",N$13="",$D55=""),"",IF('Leave Planner'!L56="",1,0))</f>
        <v/>
      </c>
      <c r="O55" s="17" t="str">
        <f>IF(OR(TEXT(O$13,"ddd")="Sun",O$13="",$D55=""),"",IF('Leave Planner'!M56="",1,0))</f>
        <v/>
      </c>
      <c r="P55" s="17" t="str">
        <f>IF(OR(TEXT(P$13,"ddd")="Sun",P$13="",$D55=""),"",IF('Leave Planner'!N56="",1,0))</f>
        <v/>
      </c>
      <c r="Q55" s="17" t="str">
        <f>IF(OR(TEXT(Q$13,"ddd")="Sun",Q$13="",$D55=""),"",IF('Leave Planner'!O56="",1,0))</f>
        <v/>
      </c>
      <c r="R55" s="17" t="str">
        <f>IF(OR(TEXT(R$13,"ddd")="Sun",R$13="",$D55=""),"",IF('Leave Planner'!P56="",1,0))</f>
        <v/>
      </c>
      <c r="S55" s="17" t="str">
        <f>IF(OR(TEXT(S$13,"ddd")="Sun",S$13="",$D55=""),"",IF('Leave Planner'!Q56="",1,0))</f>
        <v/>
      </c>
      <c r="T55" s="17" t="str">
        <f>IF(OR(TEXT(T$13,"ddd")="Sun",T$13="",$D55=""),"",IF('Leave Planner'!R56="",1,0))</f>
        <v/>
      </c>
      <c r="U55" s="17" t="str">
        <f>IF(OR(TEXT(U$13,"ddd")="Sun",U$13="",$D55=""),"",IF('Leave Planner'!S56="",1,0))</f>
        <v/>
      </c>
      <c r="V55" s="17" t="str">
        <f>IF(OR(TEXT(V$13,"ddd")="Sun",V$13="",$D55=""),"",IF('Leave Planner'!T56="",1,0))</f>
        <v/>
      </c>
      <c r="W55" s="17" t="str">
        <f>IF(OR(TEXT(W$13,"ddd")="Sun",W$13="",$D55=""),"",IF('Leave Planner'!U56="",1,0))</f>
        <v/>
      </c>
      <c r="X55" s="17" t="str">
        <f>IF(OR(TEXT(X$13,"ddd")="Sun",X$13="",$D55=""),"",IF('Leave Planner'!V56="",1,0))</f>
        <v/>
      </c>
      <c r="Y55" s="17" t="str">
        <f>IF(OR(TEXT(Y$13,"ddd")="Sun",Y$13="",$D55=""),"",IF('Leave Planner'!W56="",1,0))</f>
        <v/>
      </c>
      <c r="Z55" s="17" t="str">
        <f>IF(OR(TEXT(Z$13,"ddd")="Sun",Z$13="",$D55=""),"",IF('Leave Planner'!X56="",1,0))</f>
        <v/>
      </c>
      <c r="AA55" s="17" t="str">
        <f>IF(OR(TEXT(AA$13,"ddd")="Sun",AA$13="",$D55=""),"",IF('Leave Planner'!Y56="",1,0))</f>
        <v/>
      </c>
      <c r="AB55" s="17" t="str">
        <f>IF(OR(TEXT(AB$13,"ddd")="Sun",AB$13="",$D55=""),"",IF('Leave Planner'!Z56="",1,0))</f>
        <v/>
      </c>
      <c r="AC55" s="17" t="str">
        <f>IF(OR(TEXT(AC$13,"ddd")="Sun",AC$13="",$D55=""),"",IF('Leave Planner'!AA56="",1,0))</f>
        <v/>
      </c>
      <c r="AD55" s="17" t="str">
        <f>IF(OR(TEXT(AD$13,"ddd")="Sun",AD$13="",$D55=""),"",IF('Leave Planner'!AB56="",1,0))</f>
        <v/>
      </c>
      <c r="AE55" s="17" t="str">
        <f>IF(OR(TEXT(AE$13,"ddd")="Sun",AE$13="",$D55=""),"",IF('Leave Planner'!AC56="",1,0))</f>
        <v/>
      </c>
      <c r="AF55" s="17" t="str">
        <f>IF(OR(TEXT(AF$13,"ddd")="Sun",AF$13="",$D55=""),"",IF('Leave Planner'!AD56="",1,0))</f>
        <v/>
      </c>
      <c r="AG55" s="17" t="str">
        <f>IF(OR(TEXT(AG$13,"ddd")="Sun",AG$13="",$D55=""),"",IF('Leave Planner'!AE56="",1,0))</f>
        <v/>
      </c>
      <c r="AH55" s="17" t="str">
        <f>IF(OR(TEXT(AH$13,"ddd")="Sun",AH$13="",$D55=""),"",IF('Leave Planner'!AF56="",1,0))</f>
        <v/>
      </c>
      <c r="AI55" s="17" t="str">
        <f>IF(OR(TEXT(AI$13,"ddd")="Sun",AI$13="",$D55=""),"",IF('Leave Planner'!AG56="",1,0))</f>
        <v/>
      </c>
      <c r="AJ55" s="17" t="str">
        <f>IF(OR(TEXT(AJ$13,"ddd")="Sun",AJ$13="",$D55=""),"",IF('Leave Planner'!AH56="",1,0))</f>
        <v/>
      </c>
    </row>
    <row r="56" spans="2:36" x14ac:dyDescent="0.75">
      <c r="B56" s="15"/>
      <c r="C56" s="22"/>
      <c r="D56" s="22"/>
      <c r="E56" s="42" t="str">
        <f t="shared" si="5"/>
        <v/>
      </c>
      <c r="F56" s="17" t="str">
        <f>IF(OR(TEXT(F$13,"ddd")="Sun",F$13="",$D56=""),"",IF('Leave Planner'!D57="",1,0))</f>
        <v/>
      </c>
      <c r="G56" s="17" t="str">
        <f>IF(OR(TEXT(G$13,"ddd")="Sun",G$13="",$D56=""),"",IF('Leave Planner'!E57="",1,0))</f>
        <v/>
      </c>
      <c r="H56" s="17" t="str">
        <f>IF(OR(TEXT(H$13,"ddd")="Sun",H$13="",$D56=""),"",IF('Leave Planner'!F57="",1,0))</f>
        <v/>
      </c>
      <c r="I56" s="17" t="str">
        <f>IF(OR(TEXT(I$13,"ddd")="Sun",I$13="",$D56=""),"",IF('Leave Planner'!G57="",1,0))</f>
        <v/>
      </c>
      <c r="J56" s="17" t="str">
        <f>IF(OR(TEXT(J$13,"ddd")="Sun",J$13="",$D56=""),"",IF('Leave Planner'!H57="",1,0))</f>
        <v/>
      </c>
      <c r="K56" s="17" t="str">
        <f>IF(OR(TEXT(K$13,"ddd")="Sun",K$13="",$D56=""),"",IF('Leave Planner'!I57="",1,0))</f>
        <v/>
      </c>
      <c r="L56" s="17" t="str">
        <f>IF(OR(TEXT(L$13,"ddd")="Sun",L$13="",$D56=""),"",IF('Leave Planner'!J57="",1,0))</f>
        <v/>
      </c>
      <c r="M56" s="17" t="str">
        <f>IF(OR(TEXT(M$13,"ddd")="Sun",M$13="",$D56=""),"",IF('Leave Planner'!K57="",1,0))</f>
        <v/>
      </c>
      <c r="N56" s="17" t="str">
        <f>IF(OR(TEXT(N$13,"ddd")="Sun",N$13="",$D56=""),"",IF('Leave Planner'!L57="",1,0))</f>
        <v/>
      </c>
      <c r="O56" s="17" t="str">
        <f>IF(OR(TEXT(O$13,"ddd")="Sun",O$13="",$D56=""),"",IF('Leave Planner'!M57="",1,0))</f>
        <v/>
      </c>
      <c r="P56" s="17" t="str">
        <f>IF(OR(TEXT(P$13,"ddd")="Sun",P$13="",$D56=""),"",IF('Leave Planner'!N57="",1,0))</f>
        <v/>
      </c>
      <c r="Q56" s="17" t="str">
        <f>IF(OR(TEXT(Q$13,"ddd")="Sun",Q$13="",$D56=""),"",IF('Leave Planner'!O57="",1,0))</f>
        <v/>
      </c>
      <c r="R56" s="17" t="str">
        <f>IF(OR(TEXT(R$13,"ddd")="Sun",R$13="",$D56=""),"",IF('Leave Planner'!P57="",1,0))</f>
        <v/>
      </c>
      <c r="S56" s="17" t="str">
        <f>IF(OR(TEXT(S$13,"ddd")="Sun",S$13="",$D56=""),"",IF('Leave Planner'!Q57="",1,0))</f>
        <v/>
      </c>
      <c r="T56" s="17" t="str">
        <f>IF(OR(TEXT(T$13,"ddd")="Sun",T$13="",$D56=""),"",IF('Leave Planner'!R57="",1,0))</f>
        <v/>
      </c>
      <c r="U56" s="17" t="str">
        <f>IF(OR(TEXT(U$13,"ddd")="Sun",U$13="",$D56=""),"",IF('Leave Planner'!S57="",1,0))</f>
        <v/>
      </c>
      <c r="V56" s="17" t="str">
        <f>IF(OR(TEXT(V$13,"ddd")="Sun",V$13="",$D56=""),"",IF('Leave Planner'!T57="",1,0))</f>
        <v/>
      </c>
      <c r="W56" s="17" t="str">
        <f>IF(OR(TEXT(W$13,"ddd")="Sun",W$13="",$D56=""),"",IF('Leave Planner'!U57="",1,0))</f>
        <v/>
      </c>
      <c r="X56" s="17" t="str">
        <f>IF(OR(TEXT(X$13,"ddd")="Sun",X$13="",$D56=""),"",IF('Leave Planner'!V57="",1,0))</f>
        <v/>
      </c>
      <c r="Y56" s="17" t="str">
        <f>IF(OR(TEXT(Y$13,"ddd")="Sun",Y$13="",$D56=""),"",IF('Leave Planner'!W57="",1,0))</f>
        <v/>
      </c>
      <c r="Z56" s="17" t="str">
        <f>IF(OR(TEXT(Z$13,"ddd")="Sun",Z$13="",$D56=""),"",IF('Leave Planner'!X57="",1,0))</f>
        <v/>
      </c>
      <c r="AA56" s="17" t="str">
        <f>IF(OR(TEXT(AA$13,"ddd")="Sun",AA$13="",$D56=""),"",IF('Leave Planner'!Y57="",1,0))</f>
        <v/>
      </c>
      <c r="AB56" s="17" t="str">
        <f>IF(OR(TEXT(AB$13,"ddd")="Sun",AB$13="",$D56=""),"",IF('Leave Planner'!Z57="",1,0))</f>
        <v/>
      </c>
      <c r="AC56" s="17" t="str">
        <f>IF(OR(TEXT(AC$13,"ddd")="Sun",AC$13="",$D56=""),"",IF('Leave Planner'!AA57="",1,0))</f>
        <v/>
      </c>
      <c r="AD56" s="17" t="str">
        <f>IF(OR(TEXT(AD$13,"ddd")="Sun",AD$13="",$D56=""),"",IF('Leave Planner'!AB57="",1,0))</f>
        <v/>
      </c>
      <c r="AE56" s="17" t="str">
        <f>IF(OR(TEXT(AE$13,"ddd")="Sun",AE$13="",$D56=""),"",IF('Leave Planner'!AC57="",1,0))</f>
        <v/>
      </c>
      <c r="AF56" s="17" t="str">
        <f>IF(OR(TEXT(AF$13,"ddd")="Sun",AF$13="",$D56=""),"",IF('Leave Planner'!AD57="",1,0))</f>
        <v/>
      </c>
      <c r="AG56" s="17" t="str">
        <f>IF(OR(TEXT(AG$13,"ddd")="Sun",AG$13="",$D56=""),"",IF('Leave Planner'!AE57="",1,0))</f>
        <v/>
      </c>
      <c r="AH56" s="17" t="str">
        <f>IF(OR(TEXT(AH$13,"ddd")="Sun",AH$13="",$D56=""),"",IF('Leave Planner'!AF57="",1,0))</f>
        <v/>
      </c>
      <c r="AI56" s="17" t="str">
        <f>IF(OR(TEXT(AI$13,"ddd")="Sun",AI$13="",$D56=""),"",IF('Leave Planner'!AG57="",1,0))</f>
        <v/>
      </c>
      <c r="AJ56" s="17" t="str">
        <f>IF(OR(TEXT(AJ$13,"ddd")="Sun",AJ$13="",$D56=""),"",IF('Leave Planner'!AH57="",1,0))</f>
        <v/>
      </c>
    </row>
    <row r="57" spans="2:36" x14ac:dyDescent="0.75">
      <c r="B57" s="15"/>
      <c r="C57" s="22"/>
      <c r="D57" s="22"/>
      <c r="E57" s="42" t="str">
        <f t="shared" si="5"/>
        <v/>
      </c>
      <c r="F57" s="17" t="str">
        <f>IF(OR(TEXT(F$13,"ddd")="Sun",F$13="",$D57=""),"",IF('Leave Planner'!D58="",1,0))</f>
        <v/>
      </c>
      <c r="G57" s="17" t="str">
        <f>IF(OR(TEXT(G$13,"ddd")="Sun",G$13="",$D57=""),"",IF('Leave Planner'!E58="",1,0))</f>
        <v/>
      </c>
      <c r="H57" s="17" t="str">
        <f>IF(OR(TEXT(H$13,"ddd")="Sun",H$13="",$D57=""),"",IF('Leave Planner'!F58="",1,0))</f>
        <v/>
      </c>
      <c r="I57" s="17" t="str">
        <f>IF(OR(TEXT(I$13,"ddd")="Sun",I$13="",$D57=""),"",IF('Leave Planner'!G58="",1,0))</f>
        <v/>
      </c>
      <c r="J57" s="17" t="str">
        <f>IF(OR(TEXT(J$13,"ddd")="Sun",J$13="",$D57=""),"",IF('Leave Planner'!H58="",1,0))</f>
        <v/>
      </c>
      <c r="K57" s="17" t="str">
        <f>IF(OR(TEXT(K$13,"ddd")="Sun",K$13="",$D57=""),"",IF('Leave Planner'!I58="",1,0))</f>
        <v/>
      </c>
      <c r="L57" s="17" t="str">
        <f>IF(OR(TEXT(L$13,"ddd")="Sun",L$13="",$D57=""),"",IF('Leave Planner'!J58="",1,0))</f>
        <v/>
      </c>
      <c r="M57" s="17" t="str">
        <f>IF(OR(TEXT(M$13,"ddd")="Sun",M$13="",$D57=""),"",IF('Leave Planner'!K58="",1,0))</f>
        <v/>
      </c>
      <c r="N57" s="17" t="str">
        <f>IF(OR(TEXT(N$13,"ddd")="Sun",N$13="",$D57=""),"",IF('Leave Planner'!L58="",1,0))</f>
        <v/>
      </c>
      <c r="O57" s="17" t="str">
        <f>IF(OR(TEXT(O$13,"ddd")="Sun",O$13="",$D57=""),"",IF('Leave Planner'!M58="",1,0))</f>
        <v/>
      </c>
      <c r="P57" s="17" t="str">
        <f>IF(OR(TEXT(P$13,"ddd")="Sun",P$13="",$D57=""),"",IF('Leave Planner'!N58="",1,0))</f>
        <v/>
      </c>
      <c r="Q57" s="17" t="str">
        <f>IF(OR(TEXT(Q$13,"ddd")="Sun",Q$13="",$D57=""),"",IF('Leave Planner'!O58="",1,0))</f>
        <v/>
      </c>
      <c r="R57" s="17" t="str">
        <f>IF(OR(TEXT(R$13,"ddd")="Sun",R$13="",$D57=""),"",IF('Leave Planner'!P58="",1,0))</f>
        <v/>
      </c>
      <c r="S57" s="17" t="str">
        <f>IF(OR(TEXT(S$13,"ddd")="Sun",S$13="",$D57=""),"",IF('Leave Planner'!Q58="",1,0))</f>
        <v/>
      </c>
      <c r="T57" s="17" t="str">
        <f>IF(OR(TEXT(T$13,"ddd")="Sun",T$13="",$D57=""),"",IF('Leave Planner'!R58="",1,0))</f>
        <v/>
      </c>
      <c r="U57" s="17" t="str">
        <f>IF(OR(TEXT(U$13,"ddd")="Sun",U$13="",$D57=""),"",IF('Leave Planner'!S58="",1,0))</f>
        <v/>
      </c>
      <c r="V57" s="17" t="str">
        <f>IF(OR(TEXT(V$13,"ddd")="Sun",V$13="",$D57=""),"",IF('Leave Planner'!T58="",1,0))</f>
        <v/>
      </c>
      <c r="W57" s="17" t="str">
        <f>IF(OR(TEXT(W$13,"ddd")="Sun",W$13="",$D57=""),"",IF('Leave Planner'!U58="",1,0))</f>
        <v/>
      </c>
      <c r="X57" s="17" t="str">
        <f>IF(OR(TEXT(X$13,"ddd")="Sun",X$13="",$D57=""),"",IF('Leave Planner'!V58="",1,0))</f>
        <v/>
      </c>
      <c r="Y57" s="17" t="str">
        <f>IF(OR(TEXT(Y$13,"ddd")="Sun",Y$13="",$D57=""),"",IF('Leave Planner'!W58="",1,0))</f>
        <v/>
      </c>
      <c r="Z57" s="17" t="str">
        <f>IF(OR(TEXT(Z$13,"ddd")="Sun",Z$13="",$D57=""),"",IF('Leave Planner'!X58="",1,0))</f>
        <v/>
      </c>
      <c r="AA57" s="17" t="str">
        <f>IF(OR(TEXT(AA$13,"ddd")="Sun",AA$13="",$D57=""),"",IF('Leave Planner'!Y58="",1,0))</f>
        <v/>
      </c>
      <c r="AB57" s="17" t="str">
        <f>IF(OR(TEXT(AB$13,"ddd")="Sun",AB$13="",$D57=""),"",IF('Leave Planner'!Z58="",1,0))</f>
        <v/>
      </c>
      <c r="AC57" s="17" t="str">
        <f>IF(OR(TEXT(AC$13,"ddd")="Sun",AC$13="",$D57=""),"",IF('Leave Planner'!AA58="",1,0))</f>
        <v/>
      </c>
      <c r="AD57" s="17" t="str">
        <f>IF(OR(TEXT(AD$13,"ddd")="Sun",AD$13="",$D57=""),"",IF('Leave Planner'!AB58="",1,0))</f>
        <v/>
      </c>
      <c r="AE57" s="17" t="str">
        <f>IF(OR(TEXT(AE$13,"ddd")="Sun",AE$13="",$D57=""),"",IF('Leave Planner'!AC58="",1,0))</f>
        <v/>
      </c>
      <c r="AF57" s="17" t="str">
        <f>IF(OR(TEXT(AF$13,"ddd")="Sun",AF$13="",$D57=""),"",IF('Leave Planner'!AD58="",1,0))</f>
        <v/>
      </c>
      <c r="AG57" s="17" t="str">
        <f>IF(OR(TEXT(AG$13,"ddd")="Sun",AG$13="",$D57=""),"",IF('Leave Planner'!AE58="",1,0))</f>
        <v/>
      </c>
      <c r="AH57" s="17" t="str">
        <f>IF(OR(TEXT(AH$13,"ddd")="Sun",AH$13="",$D57=""),"",IF('Leave Planner'!AF58="",1,0))</f>
        <v/>
      </c>
      <c r="AI57" s="17" t="str">
        <f>IF(OR(TEXT(AI$13,"ddd")="Sun",AI$13="",$D57=""),"",IF('Leave Planner'!AG58="",1,0))</f>
        <v/>
      </c>
      <c r="AJ57" s="17" t="str">
        <f>IF(OR(TEXT(AJ$13,"ddd")="Sun",AJ$13="",$D57=""),"",IF('Leave Planner'!AH58="",1,0))</f>
        <v/>
      </c>
    </row>
    <row r="58" spans="2:36" x14ac:dyDescent="0.75">
      <c r="B58" s="15"/>
      <c r="C58" s="22"/>
      <c r="D58" s="22"/>
      <c r="E58" s="42" t="str">
        <f t="shared" si="5"/>
        <v/>
      </c>
      <c r="F58" s="17" t="str">
        <f>IF(OR(TEXT(F$13,"ddd")="Sun",F$13="",$D58=""),"",IF('Leave Planner'!D59="",1,0))</f>
        <v/>
      </c>
      <c r="G58" s="17" t="str">
        <f>IF(OR(TEXT(G$13,"ddd")="Sun",G$13="",$D58=""),"",IF('Leave Planner'!E59="",1,0))</f>
        <v/>
      </c>
      <c r="H58" s="17" t="str">
        <f>IF(OR(TEXT(H$13,"ddd")="Sun",H$13="",$D58=""),"",IF('Leave Planner'!F59="",1,0))</f>
        <v/>
      </c>
      <c r="I58" s="17" t="str">
        <f>IF(OR(TEXT(I$13,"ddd")="Sun",I$13="",$D58=""),"",IF('Leave Planner'!G59="",1,0))</f>
        <v/>
      </c>
      <c r="J58" s="17" t="str">
        <f>IF(OR(TEXT(J$13,"ddd")="Sun",J$13="",$D58=""),"",IF('Leave Planner'!H59="",1,0))</f>
        <v/>
      </c>
      <c r="K58" s="17" t="str">
        <f>IF(OR(TEXT(K$13,"ddd")="Sun",K$13="",$D58=""),"",IF('Leave Planner'!I59="",1,0))</f>
        <v/>
      </c>
      <c r="L58" s="17" t="str">
        <f>IF(OR(TEXT(L$13,"ddd")="Sun",L$13="",$D58=""),"",IF('Leave Planner'!J59="",1,0))</f>
        <v/>
      </c>
      <c r="M58" s="17" t="str">
        <f>IF(OR(TEXT(M$13,"ddd")="Sun",M$13="",$D58=""),"",IF('Leave Planner'!K59="",1,0))</f>
        <v/>
      </c>
      <c r="N58" s="17" t="str">
        <f>IF(OR(TEXT(N$13,"ddd")="Sun",N$13="",$D58=""),"",IF('Leave Planner'!L59="",1,0))</f>
        <v/>
      </c>
      <c r="O58" s="17" t="str">
        <f>IF(OR(TEXT(O$13,"ddd")="Sun",O$13="",$D58=""),"",IF('Leave Planner'!M59="",1,0))</f>
        <v/>
      </c>
      <c r="P58" s="17" t="str">
        <f>IF(OR(TEXT(P$13,"ddd")="Sun",P$13="",$D58=""),"",IF('Leave Planner'!N59="",1,0))</f>
        <v/>
      </c>
      <c r="Q58" s="17" t="str">
        <f>IF(OR(TEXT(Q$13,"ddd")="Sun",Q$13="",$D58=""),"",IF('Leave Planner'!O59="",1,0))</f>
        <v/>
      </c>
      <c r="R58" s="17" t="str">
        <f>IF(OR(TEXT(R$13,"ddd")="Sun",R$13="",$D58=""),"",IF('Leave Planner'!P59="",1,0))</f>
        <v/>
      </c>
      <c r="S58" s="17" t="str">
        <f>IF(OR(TEXT(S$13,"ddd")="Sun",S$13="",$D58=""),"",IF('Leave Planner'!Q59="",1,0))</f>
        <v/>
      </c>
      <c r="T58" s="17" t="str">
        <f>IF(OR(TEXT(T$13,"ddd")="Sun",T$13="",$D58=""),"",IF('Leave Planner'!R59="",1,0))</f>
        <v/>
      </c>
      <c r="U58" s="17" t="str">
        <f>IF(OR(TEXT(U$13,"ddd")="Sun",U$13="",$D58=""),"",IF('Leave Planner'!S59="",1,0))</f>
        <v/>
      </c>
      <c r="V58" s="17" t="str">
        <f>IF(OR(TEXT(V$13,"ddd")="Sun",V$13="",$D58=""),"",IF('Leave Planner'!T59="",1,0))</f>
        <v/>
      </c>
      <c r="W58" s="17" t="str">
        <f>IF(OR(TEXT(W$13,"ddd")="Sun",W$13="",$D58=""),"",IF('Leave Planner'!U59="",1,0))</f>
        <v/>
      </c>
      <c r="X58" s="17" t="str">
        <f>IF(OR(TEXT(X$13,"ddd")="Sun",X$13="",$D58=""),"",IF('Leave Planner'!V59="",1,0))</f>
        <v/>
      </c>
      <c r="Y58" s="17" t="str">
        <f>IF(OR(TEXT(Y$13,"ddd")="Sun",Y$13="",$D58=""),"",IF('Leave Planner'!W59="",1,0))</f>
        <v/>
      </c>
      <c r="Z58" s="17" t="str">
        <f>IF(OR(TEXT(Z$13,"ddd")="Sun",Z$13="",$D58=""),"",IF('Leave Planner'!X59="",1,0))</f>
        <v/>
      </c>
      <c r="AA58" s="17" t="str">
        <f>IF(OR(TEXT(AA$13,"ddd")="Sun",AA$13="",$D58=""),"",IF('Leave Planner'!Y59="",1,0))</f>
        <v/>
      </c>
      <c r="AB58" s="17" t="str">
        <f>IF(OR(TEXT(AB$13,"ddd")="Sun",AB$13="",$D58=""),"",IF('Leave Planner'!Z59="",1,0))</f>
        <v/>
      </c>
      <c r="AC58" s="17" t="str">
        <f>IF(OR(TEXT(AC$13,"ddd")="Sun",AC$13="",$D58=""),"",IF('Leave Planner'!AA59="",1,0))</f>
        <v/>
      </c>
      <c r="AD58" s="17" t="str">
        <f>IF(OR(TEXT(AD$13,"ddd")="Sun",AD$13="",$D58=""),"",IF('Leave Planner'!AB59="",1,0))</f>
        <v/>
      </c>
      <c r="AE58" s="17" t="str">
        <f>IF(OR(TEXT(AE$13,"ddd")="Sun",AE$13="",$D58=""),"",IF('Leave Planner'!AC59="",1,0))</f>
        <v/>
      </c>
      <c r="AF58" s="17" t="str">
        <f>IF(OR(TEXT(AF$13,"ddd")="Sun",AF$13="",$D58=""),"",IF('Leave Planner'!AD59="",1,0))</f>
        <v/>
      </c>
      <c r="AG58" s="17" t="str">
        <f>IF(OR(TEXT(AG$13,"ddd")="Sun",AG$13="",$D58=""),"",IF('Leave Planner'!AE59="",1,0))</f>
        <v/>
      </c>
      <c r="AH58" s="17" t="str">
        <f>IF(OR(TEXT(AH$13,"ddd")="Sun",AH$13="",$D58=""),"",IF('Leave Planner'!AF59="",1,0))</f>
        <v/>
      </c>
      <c r="AI58" s="17" t="str">
        <f>IF(OR(TEXT(AI$13,"ddd")="Sun",AI$13="",$D58=""),"",IF('Leave Planner'!AG59="",1,0))</f>
        <v/>
      </c>
      <c r="AJ58" s="17" t="str">
        <f>IF(OR(TEXT(AJ$13,"ddd")="Sun",AJ$13="",$D58=""),"",IF('Leave Planner'!AH59="",1,0))</f>
        <v/>
      </c>
    </row>
    <row r="59" spans="2:36" x14ac:dyDescent="0.75">
      <c r="B59" s="15"/>
      <c r="C59" s="22"/>
      <c r="D59" s="22"/>
      <c r="E59" s="42" t="str">
        <f t="shared" si="5"/>
        <v/>
      </c>
      <c r="F59" s="17" t="str">
        <f>IF(OR(TEXT(F$13,"ddd")="Sun",F$13="",$D59=""),"",IF('Leave Planner'!D60="",1,0))</f>
        <v/>
      </c>
      <c r="G59" s="17" t="str">
        <f>IF(OR(TEXT(G$13,"ddd")="Sun",G$13="",$D59=""),"",IF('Leave Planner'!E60="",1,0))</f>
        <v/>
      </c>
      <c r="H59" s="17" t="str">
        <f>IF(OR(TEXT(H$13,"ddd")="Sun",H$13="",$D59=""),"",IF('Leave Planner'!F60="",1,0))</f>
        <v/>
      </c>
      <c r="I59" s="17" t="str">
        <f>IF(OR(TEXT(I$13,"ddd")="Sun",I$13="",$D59=""),"",IF('Leave Planner'!G60="",1,0))</f>
        <v/>
      </c>
      <c r="J59" s="17" t="str">
        <f>IF(OR(TEXT(J$13,"ddd")="Sun",J$13="",$D59=""),"",IF('Leave Planner'!H60="",1,0))</f>
        <v/>
      </c>
      <c r="K59" s="17" t="str">
        <f>IF(OR(TEXT(K$13,"ddd")="Sun",K$13="",$D59=""),"",IF('Leave Planner'!I60="",1,0))</f>
        <v/>
      </c>
      <c r="L59" s="17" t="str">
        <f>IF(OR(TEXT(L$13,"ddd")="Sun",L$13="",$D59=""),"",IF('Leave Planner'!J60="",1,0))</f>
        <v/>
      </c>
      <c r="M59" s="17" t="str">
        <f>IF(OR(TEXT(M$13,"ddd")="Sun",M$13="",$D59=""),"",IF('Leave Planner'!K60="",1,0))</f>
        <v/>
      </c>
      <c r="N59" s="17" t="str">
        <f>IF(OR(TEXT(N$13,"ddd")="Sun",N$13="",$D59=""),"",IF('Leave Planner'!L60="",1,0))</f>
        <v/>
      </c>
      <c r="O59" s="17" t="str">
        <f>IF(OR(TEXT(O$13,"ddd")="Sun",O$13="",$D59=""),"",IF('Leave Planner'!M60="",1,0))</f>
        <v/>
      </c>
      <c r="P59" s="17" t="str">
        <f>IF(OR(TEXT(P$13,"ddd")="Sun",P$13="",$D59=""),"",IF('Leave Planner'!N60="",1,0))</f>
        <v/>
      </c>
      <c r="Q59" s="17" t="str">
        <f>IF(OR(TEXT(Q$13,"ddd")="Sun",Q$13="",$D59=""),"",IF('Leave Planner'!O60="",1,0))</f>
        <v/>
      </c>
      <c r="R59" s="17" t="str">
        <f>IF(OR(TEXT(R$13,"ddd")="Sun",R$13="",$D59=""),"",IF('Leave Planner'!P60="",1,0))</f>
        <v/>
      </c>
      <c r="S59" s="17" t="str">
        <f>IF(OR(TEXT(S$13,"ddd")="Sun",S$13="",$D59=""),"",IF('Leave Planner'!Q60="",1,0))</f>
        <v/>
      </c>
      <c r="T59" s="17" t="str">
        <f>IF(OR(TEXT(T$13,"ddd")="Sun",T$13="",$D59=""),"",IF('Leave Planner'!R60="",1,0))</f>
        <v/>
      </c>
      <c r="U59" s="17" t="str">
        <f>IF(OR(TEXT(U$13,"ddd")="Sun",U$13="",$D59=""),"",IF('Leave Planner'!S60="",1,0))</f>
        <v/>
      </c>
      <c r="V59" s="17" t="str">
        <f>IF(OR(TEXT(V$13,"ddd")="Sun",V$13="",$D59=""),"",IF('Leave Planner'!T60="",1,0))</f>
        <v/>
      </c>
      <c r="W59" s="17" t="str">
        <f>IF(OR(TEXT(W$13,"ddd")="Sun",W$13="",$D59=""),"",IF('Leave Planner'!U60="",1,0))</f>
        <v/>
      </c>
      <c r="X59" s="17" t="str">
        <f>IF(OR(TEXT(X$13,"ddd")="Sun",X$13="",$D59=""),"",IF('Leave Planner'!V60="",1,0))</f>
        <v/>
      </c>
      <c r="Y59" s="17" t="str">
        <f>IF(OR(TEXT(Y$13,"ddd")="Sun",Y$13="",$D59=""),"",IF('Leave Planner'!W60="",1,0))</f>
        <v/>
      </c>
      <c r="Z59" s="17" t="str">
        <f>IF(OR(TEXT(Z$13,"ddd")="Sun",Z$13="",$D59=""),"",IF('Leave Planner'!X60="",1,0))</f>
        <v/>
      </c>
      <c r="AA59" s="17" t="str">
        <f>IF(OR(TEXT(AA$13,"ddd")="Sun",AA$13="",$D59=""),"",IF('Leave Planner'!Y60="",1,0))</f>
        <v/>
      </c>
      <c r="AB59" s="17" t="str">
        <f>IF(OR(TEXT(AB$13,"ddd")="Sun",AB$13="",$D59=""),"",IF('Leave Planner'!Z60="",1,0))</f>
        <v/>
      </c>
      <c r="AC59" s="17" t="str">
        <f>IF(OR(TEXT(AC$13,"ddd")="Sun",AC$13="",$D59=""),"",IF('Leave Planner'!AA60="",1,0))</f>
        <v/>
      </c>
      <c r="AD59" s="17" t="str">
        <f>IF(OR(TEXT(AD$13,"ddd")="Sun",AD$13="",$D59=""),"",IF('Leave Planner'!AB60="",1,0))</f>
        <v/>
      </c>
      <c r="AE59" s="17" t="str">
        <f>IF(OR(TEXT(AE$13,"ddd")="Sun",AE$13="",$D59=""),"",IF('Leave Planner'!AC60="",1,0))</f>
        <v/>
      </c>
      <c r="AF59" s="17" t="str">
        <f>IF(OR(TEXT(AF$13,"ddd")="Sun",AF$13="",$D59=""),"",IF('Leave Planner'!AD60="",1,0))</f>
        <v/>
      </c>
      <c r="AG59" s="17" t="str">
        <f>IF(OR(TEXT(AG$13,"ddd")="Sun",AG$13="",$D59=""),"",IF('Leave Planner'!AE60="",1,0))</f>
        <v/>
      </c>
      <c r="AH59" s="17" t="str">
        <f>IF(OR(TEXT(AH$13,"ddd")="Sun",AH$13="",$D59=""),"",IF('Leave Planner'!AF60="",1,0))</f>
        <v/>
      </c>
      <c r="AI59" s="17" t="str">
        <f>IF(OR(TEXT(AI$13,"ddd")="Sun",AI$13="",$D59=""),"",IF('Leave Planner'!AG60="",1,0))</f>
        <v/>
      </c>
      <c r="AJ59" s="17" t="str">
        <f>IF(OR(TEXT(AJ$13,"ddd")="Sun",AJ$13="",$D59=""),"",IF('Leave Planner'!AH60="",1,0))</f>
        <v/>
      </c>
    </row>
    <row r="60" spans="2:36" x14ac:dyDescent="0.75">
      <c r="B60" s="15"/>
      <c r="C60" s="22"/>
      <c r="D60" s="22"/>
      <c r="E60" s="42" t="str">
        <f t="shared" si="5"/>
        <v/>
      </c>
      <c r="F60" s="17" t="str">
        <f>IF(OR(TEXT(F$13,"ddd")="Sun",F$13="",$D60=""),"",IF('Leave Planner'!D61="",1,0))</f>
        <v/>
      </c>
      <c r="G60" s="17" t="str">
        <f>IF(OR(TEXT(G$13,"ddd")="Sun",G$13="",$D60=""),"",IF('Leave Planner'!E61="",1,0))</f>
        <v/>
      </c>
      <c r="H60" s="17" t="str">
        <f>IF(OR(TEXT(H$13,"ddd")="Sun",H$13="",$D60=""),"",IF('Leave Planner'!F61="",1,0))</f>
        <v/>
      </c>
      <c r="I60" s="17" t="str">
        <f>IF(OR(TEXT(I$13,"ddd")="Sun",I$13="",$D60=""),"",IF('Leave Planner'!G61="",1,0))</f>
        <v/>
      </c>
      <c r="J60" s="17" t="str">
        <f>IF(OR(TEXT(J$13,"ddd")="Sun",J$13="",$D60=""),"",IF('Leave Planner'!H61="",1,0))</f>
        <v/>
      </c>
      <c r="K60" s="17" t="str">
        <f>IF(OR(TEXT(K$13,"ddd")="Sun",K$13="",$D60=""),"",IF('Leave Planner'!I61="",1,0))</f>
        <v/>
      </c>
      <c r="L60" s="17" t="str">
        <f>IF(OR(TEXT(L$13,"ddd")="Sun",L$13="",$D60=""),"",IF('Leave Planner'!J61="",1,0))</f>
        <v/>
      </c>
      <c r="M60" s="17" t="str">
        <f>IF(OR(TEXT(M$13,"ddd")="Sun",M$13="",$D60=""),"",IF('Leave Planner'!K61="",1,0))</f>
        <v/>
      </c>
      <c r="N60" s="17" t="str">
        <f>IF(OR(TEXT(N$13,"ddd")="Sun",N$13="",$D60=""),"",IF('Leave Planner'!L61="",1,0))</f>
        <v/>
      </c>
      <c r="O60" s="17" t="str">
        <f>IF(OR(TEXT(O$13,"ddd")="Sun",O$13="",$D60=""),"",IF('Leave Planner'!M61="",1,0))</f>
        <v/>
      </c>
      <c r="P60" s="17" t="str">
        <f>IF(OR(TEXT(P$13,"ddd")="Sun",P$13="",$D60=""),"",IF('Leave Planner'!N61="",1,0))</f>
        <v/>
      </c>
      <c r="Q60" s="17" t="str">
        <f>IF(OR(TEXT(Q$13,"ddd")="Sun",Q$13="",$D60=""),"",IF('Leave Planner'!O61="",1,0))</f>
        <v/>
      </c>
      <c r="R60" s="17" t="str">
        <f>IF(OR(TEXT(R$13,"ddd")="Sun",R$13="",$D60=""),"",IF('Leave Planner'!P61="",1,0))</f>
        <v/>
      </c>
      <c r="S60" s="17" t="str">
        <f>IF(OR(TEXT(S$13,"ddd")="Sun",S$13="",$D60=""),"",IF('Leave Planner'!Q61="",1,0))</f>
        <v/>
      </c>
      <c r="T60" s="17" t="str">
        <f>IF(OR(TEXT(T$13,"ddd")="Sun",T$13="",$D60=""),"",IF('Leave Planner'!R61="",1,0))</f>
        <v/>
      </c>
      <c r="U60" s="17" t="str">
        <f>IF(OR(TEXT(U$13,"ddd")="Sun",U$13="",$D60=""),"",IF('Leave Planner'!S61="",1,0))</f>
        <v/>
      </c>
      <c r="V60" s="17" t="str">
        <f>IF(OR(TEXT(V$13,"ddd")="Sun",V$13="",$D60=""),"",IF('Leave Planner'!T61="",1,0))</f>
        <v/>
      </c>
      <c r="W60" s="17" t="str">
        <f>IF(OR(TEXT(W$13,"ddd")="Sun",W$13="",$D60=""),"",IF('Leave Planner'!U61="",1,0))</f>
        <v/>
      </c>
      <c r="X60" s="17" t="str">
        <f>IF(OR(TEXT(X$13,"ddd")="Sun",X$13="",$D60=""),"",IF('Leave Planner'!V61="",1,0))</f>
        <v/>
      </c>
      <c r="Y60" s="17" t="str">
        <f>IF(OR(TEXT(Y$13,"ddd")="Sun",Y$13="",$D60=""),"",IF('Leave Planner'!W61="",1,0))</f>
        <v/>
      </c>
      <c r="Z60" s="17" t="str">
        <f>IF(OR(TEXT(Z$13,"ddd")="Sun",Z$13="",$D60=""),"",IF('Leave Planner'!X61="",1,0))</f>
        <v/>
      </c>
      <c r="AA60" s="17" t="str">
        <f>IF(OR(TEXT(AA$13,"ddd")="Sun",AA$13="",$D60=""),"",IF('Leave Planner'!Y61="",1,0))</f>
        <v/>
      </c>
      <c r="AB60" s="17" t="str">
        <f>IF(OR(TEXT(AB$13,"ddd")="Sun",AB$13="",$D60=""),"",IF('Leave Planner'!Z61="",1,0))</f>
        <v/>
      </c>
      <c r="AC60" s="17" t="str">
        <f>IF(OR(TEXT(AC$13,"ddd")="Sun",AC$13="",$D60=""),"",IF('Leave Planner'!AA61="",1,0))</f>
        <v/>
      </c>
      <c r="AD60" s="17" t="str">
        <f>IF(OR(TEXT(AD$13,"ddd")="Sun",AD$13="",$D60=""),"",IF('Leave Planner'!AB61="",1,0))</f>
        <v/>
      </c>
      <c r="AE60" s="17" t="str">
        <f>IF(OR(TEXT(AE$13,"ddd")="Sun",AE$13="",$D60=""),"",IF('Leave Planner'!AC61="",1,0))</f>
        <v/>
      </c>
      <c r="AF60" s="17" t="str">
        <f>IF(OR(TEXT(AF$13,"ddd")="Sun",AF$13="",$D60=""),"",IF('Leave Planner'!AD61="",1,0))</f>
        <v/>
      </c>
      <c r="AG60" s="17" t="str">
        <f>IF(OR(TEXT(AG$13,"ddd")="Sun",AG$13="",$D60=""),"",IF('Leave Planner'!AE61="",1,0))</f>
        <v/>
      </c>
      <c r="AH60" s="17" t="str">
        <f>IF(OR(TEXT(AH$13,"ddd")="Sun",AH$13="",$D60=""),"",IF('Leave Planner'!AF61="",1,0))</f>
        <v/>
      </c>
      <c r="AI60" s="17" t="str">
        <f>IF(OR(TEXT(AI$13,"ddd")="Sun",AI$13="",$D60=""),"",IF('Leave Planner'!AG61="",1,0))</f>
        <v/>
      </c>
      <c r="AJ60" s="17" t="str">
        <f>IF(OR(TEXT(AJ$13,"ddd")="Sun",AJ$13="",$D60=""),"",IF('Leave Planner'!AH61="",1,0))</f>
        <v/>
      </c>
    </row>
    <row r="61" spans="2:36" x14ac:dyDescent="0.75">
      <c r="B61" s="15"/>
      <c r="C61" s="22"/>
      <c r="D61" s="22"/>
      <c r="E61" s="42" t="str">
        <f t="shared" si="5"/>
        <v/>
      </c>
      <c r="F61" s="17" t="str">
        <f>IF(OR(TEXT(F$13,"ddd")="Sun",F$13="",$D61=""),"",IF('Leave Planner'!D62="",1,0))</f>
        <v/>
      </c>
      <c r="G61" s="17" t="str">
        <f>IF(OR(TEXT(G$13,"ddd")="Sun",G$13="",$D61=""),"",IF('Leave Planner'!E62="",1,0))</f>
        <v/>
      </c>
      <c r="H61" s="17" t="str">
        <f>IF(OR(TEXT(H$13,"ddd")="Sun",H$13="",$D61=""),"",IF('Leave Planner'!F62="",1,0))</f>
        <v/>
      </c>
      <c r="I61" s="17" t="str">
        <f>IF(OR(TEXT(I$13,"ddd")="Sun",I$13="",$D61=""),"",IF('Leave Planner'!G62="",1,0))</f>
        <v/>
      </c>
      <c r="J61" s="17" t="str">
        <f>IF(OR(TEXT(J$13,"ddd")="Sun",J$13="",$D61=""),"",IF('Leave Planner'!H62="",1,0))</f>
        <v/>
      </c>
      <c r="K61" s="17" t="str">
        <f>IF(OR(TEXT(K$13,"ddd")="Sun",K$13="",$D61=""),"",IF('Leave Planner'!I62="",1,0))</f>
        <v/>
      </c>
      <c r="L61" s="17" t="str">
        <f>IF(OR(TEXT(L$13,"ddd")="Sun",L$13="",$D61=""),"",IF('Leave Planner'!J62="",1,0))</f>
        <v/>
      </c>
      <c r="M61" s="17" t="str">
        <f>IF(OR(TEXT(M$13,"ddd")="Sun",M$13="",$D61=""),"",IF('Leave Planner'!K62="",1,0))</f>
        <v/>
      </c>
      <c r="N61" s="17" t="str">
        <f>IF(OR(TEXT(N$13,"ddd")="Sun",N$13="",$D61=""),"",IF('Leave Planner'!L62="",1,0))</f>
        <v/>
      </c>
      <c r="O61" s="17" t="str">
        <f>IF(OR(TEXT(O$13,"ddd")="Sun",O$13="",$D61=""),"",IF('Leave Planner'!M62="",1,0))</f>
        <v/>
      </c>
      <c r="P61" s="17" t="str">
        <f>IF(OR(TEXT(P$13,"ddd")="Sun",P$13="",$D61=""),"",IF('Leave Planner'!N62="",1,0))</f>
        <v/>
      </c>
      <c r="Q61" s="17" t="str">
        <f>IF(OR(TEXT(Q$13,"ddd")="Sun",Q$13="",$D61=""),"",IF('Leave Planner'!O62="",1,0))</f>
        <v/>
      </c>
      <c r="R61" s="17" t="str">
        <f>IF(OR(TEXT(R$13,"ddd")="Sun",R$13="",$D61=""),"",IF('Leave Planner'!P62="",1,0))</f>
        <v/>
      </c>
      <c r="S61" s="17" t="str">
        <f>IF(OR(TEXT(S$13,"ddd")="Sun",S$13="",$D61=""),"",IF('Leave Planner'!Q62="",1,0))</f>
        <v/>
      </c>
      <c r="T61" s="17" t="str">
        <f>IF(OR(TEXT(T$13,"ddd")="Sun",T$13="",$D61=""),"",IF('Leave Planner'!R62="",1,0))</f>
        <v/>
      </c>
      <c r="U61" s="17" t="str">
        <f>IF(OR(TEXT(U$13,"ddd")="Sun",U$13="",$D61=""),"",IF('Leave Planner'!S62="",1,0))</f>
        <v/>
      </c>
      <c r="V61" s="17" t="str">
        <f>IF(OR(TEXT(V$13,"ddd")="Sun",V$13="",$D61=""),"",IF('Leave Planner'!T62="",1,0))</f>
        <v/>
      </c>
      <c r="W61" s="17" t="str">
        <f>IF(OR(TEXT(W$13,"ddd")="Sun",W$13="",$D61=""),"",IF('Leave Planner'!U62="",1,0))</f>
        <v/>
      </c>
      <c r="X61" s="17" t="str">
        <f>IF(OR(TEXT(X$13,"ddd")="Sun",X$13="",$D61=""),"",IF('Leave Planner'!V62="",1,0))</f>
        <v/>
      </c>
      <c r="Y61" s="17" t="str">
        <f>IF(OR(TEXT(Y$13,"ddd")="Sun",Y$13="",$D61=""),"",IF('Leave Planner'!W62="",1,0))</f>
        <v/>
      </c>
      <c r="Z61" s="17" t="str">
        <f>IF(OR(TEXT(Z$13,"ddd")="Sun",Z$13="",$D61=""),"",IF('Leave Planner'!X62="",1,0))</f>
        <v/>
      </c>
      <c r="AA61" s="17" t="str">
        <f>IF(OR(TEXT(AA$13,"ddd")="Sun",AA$13="",$D61=""),"",IF('Leave Planner'!Y62="",1,0))</f>
        <v/>
      </c>
      <c r="AB61" s="17" t="str">
        <f>IF(OR(TEXT(AB$13,"ddd")="Sun",AB$13="",$D61=""),"",IF('Leave Planner'!Z62="",1,0))</f>
        <v/>
      </c>
      <c r="AC61" s="17" t="str">
        <f>IF(OR(TEXT(AC$13,"ddd")="Sun",AC$13="",$D61=""),"",IF('Leave Planner'!AA62="",1,0))</f>
        <v/>
      </c>
      <c r="AD61" s="17" t="str">
        <f>IF(OR(TEXT(AD$13,"ddd")="Sun",AD$13="",$D61=""),"",IF('Leave Planner'!AB62="",1,0))</f>
        <v/>
      </c>
      <c r="AE61" s="17" t="str">
        <f>IF(OR(TEXT(AE$13,"ddd")="Sun",AE$13="",$D61=""),"",IF('Leave Planner'!AC62="",1,0))</f>
        <v/>
      </c>
      <c r="AF61" s="17" t="str">
        <f>IF(OR(TEXT(AF$13,"ddd")="Sun",AF$13="",$D61=""),"",IF('Leave Planner'!AD62="",1,0))</f>
        <v/>
      </c>
      <c r="AG61" s="17" t="str">
        <f>IF(OR(TEXT(AG$13,"ddd")="Sun",AG$13="",$D61=""),"",IF('Leave Planner'!AE62="",1,0))</f>
        <v/>
      </c>
      <c r="AH61" s="17" t="str">
        <f>IF(OR(TEXT(AH$13,"ddd")="Sun",AH$13="",$D61=""),"",IF('Leave Planner'!AF62="",1,0))</f>
        <v/>
      </c>
      <c r="AI61" s="17" t="str">
        <f>IF(OR(TEXT(AI$13,"ddd")="Sun",AI$13="",$D61=""),"",IF('Leave Planner'!AG62="",1,0))</f>
        <v/>
      </c>
      <c r="AJ61" s="17" t="str">
        <f>IF(OR(TEXT(AJ$13,"ddd")="Sun",AJ$13="",$D61=""),"",IF('Leave Planner'!AH62="",1,0))</f>
        <v/>
      </c>
    </row>
    <row r="62" spans="2:36" x14ac:dyDescent="0.75">
      <c r="B62" s="15"/>
      <c r="C62" s="22"/>
      <c r="D62" s="22"/>
      <c r="E62" s="42" t="str">
        <f t="shared" si="5"/>
        <v/>
      </c>
      <c r="F62" s="17" t="str">
        <f>IF(OR(TEXT(F$13,"ddd")="Sun",F$13="",$D62=""),"",IF('Leave Planner'!D63="",1,0))</f>
        <v/>
      </c>
      <c r="G62" s="17" t="str">
        <f>IF(OR(TEXT(G$13,"ddd")="Sun",G$13="",$D62=""),"",IF('Leave Planner'!E63="",1,0))</f>
        <v/>
      </c>
      <c r="H62" s="17" t="str">
        <f>IF(OR(TEXT(H$13,"ddd")="Sun",H$13="",$D62=""),"",IF('Leave Planner'!F63="",1,0))</f>
        <v/>
      </c>
      <c r="I62" s="17" t="str">
        <f>IF(OR(TEXT(I$13,"ddd")="Sun",I$13="",$D62=""),"",IF('Leave Planner'!G63="",1,0))</f>
        <v/>
      </c>
      <c r="J62" s="17" t="str">
        <f>IF(OR(TEXT(J$13,"ddd")="Sun",J$13="",$D62=""),"",IF('Leave Planner'!H63="",1,0))</f>
        <v/>
      </c>
      <c r="K62" s="17" t="str">
        <f>IF(OR(TEXT(K$13,"ddd")="Sun",K$13="",$D62=""),"",IF('Leave Planner'!I63="",1,0))</f>
        <v/>
      </c>
      <c r="L62" s="17" t="str">
        <f>IF(OR(TEXT(L$13,"ddd")="Sun",L$13="",$D62=""),"",IF('Leave Planner'!J63="",1,0))</f>
        <v/>
      </c>
      <c r="M62" s="17" t="str">
        <f>IF(OR(TEXT(M$13,"ddd")="Sun",M$13="",$D62=""),"",IF('Leave Planner'!K63="",1,0))</f>
        <v/>
      </c>
      <c r="N62" s="17" t="str">
        <f>IF(OR(TEXT(N$13,"ddd")="Sun",N$13="",$D62=""),"",IF('Leave Planner'!L63="",1,0))</f>
        <v/>
      </c>
      <c r="O62" s="17" t="str">
        <f>IF(OR(TEXT(O$13,"ddd")="Sun",O$13="",$D62=""),"",IF('Leave Planner'!M63="",1,0))</f>
        <v/>
      </c>
      <c r="P62" s="17" t="str">
        <f>IF(OR(TEXT(P$13,"ddd")="Sun",P$13="",$D62=""),"",IF('Leave Planner'!N63="",1,0))</f>
        <v/>
      </c>
      <c r="Q62" s="17" t="str">
        <f>IF(OR(TEXT(Q$13,"ddd")="Sun",Q$13="",$D62=""),"",IF('Leave Planner'!O63="",1,0))</f>
        <v/>
      </c>
      <c r="R62" s="17" t="str">
        <f>IF(OR(TEXT(R$13,"ddd")="Sun",R$13="",$D62=""),"",IF('Leave Planner'!P63="",1,0))</f>
        <v/>
      </c>
      <c r="S62" s="17" t="str">
        <f>IF(OR(TEXT(S$13,"ddd")="Sun",S$13="",$D62=""),"",IF('Leave Planner'!Q63="",1,0))</f>
        <v/>
      </c>
      <c r="T62" s="17" t="str">
        <f>IF(OR(TEXT(T$13,"ddd")="Sun",T$13="",$D62=""),"",IF('Leave Planner'!R63="",1,0))</f>
        <v/>
      </c>
      <c r="U62" s="17" t="str">
        <f>IF(OR(TEXT(U$13,"ddd")="Sun",U$13="",$D62=""),"",IF('Leave Planner'!S63="",1,0))</f>
        <v/>
      </c>
      <c r="V62" s="17" t="str">
        <f>IF(OR(TEXT(V$13,"ddd")="Sun",V$13="",$D62=""),"",IF('Leave Planner'!T63="",1,0))</f>
        <v/>
      </c>
      <c r="W62" s="17" t="str">
        <f>IF(OR(TEXT(W$13,"ddd")="Sun",W$13="",$D62=""),"",IF('Leave Planner'!U63="",1,0))</f>
        <v/>
      </c>
      <c r="X62" s="17" t="str">
        <f>IF(OR(TEXT(X$13,"ddd")="Sun",X$13="",$D62=""),"",IF('Leave Planner'!V63="",1,0))</f>
        <v/>
      </c>
      <c r="Y62" s="17" t="str">
        <f>IF(OR(TEXT(Y$13,"ddd")="Sun",Y$13="",$D62=""),"",IF('Leave Planner'!W63="",1,0))</f>
        <v/>
      </c>
      <c r="Z62" s="17" t="str">
        <f>IF(OR(TEXT(Z$13,"ddd")="Sun",Z$13="",$D62=""),"",IF('Leave Planner'!X63="",1,0))</f>
        <v/>
      </c>
      <c r="AA62" s="17" t="str">
        <f>IF(OR(TEXT(AA$13,"ddd")="Sun",AA$13="",$D62=""),"",IF('Leave Planner'!Y63="",1,0))</f>
        <v/>
      </c>
      <c r="AB62" s="17" t="str">
        <f>IF(OR(TEXT(AB$13,"ddd")="Sun",AB$13="",$D62=""),"",IF('Leave Planner'!Z63="",1,0))</f>
        <v/>
      </c>
      <c r="AC62" s="17" t="str">
        <f>IF(OR(TEXT(AC$13,"ddd")="Sun",AC$13="",$D62=""),"",IF('Leave Planner'!AA63="",1,0))</f>
        <v/>
      </c>
      <c r="AD62" s="17" t="str">
        <f>IF(OR(TEXT(AD$13,"ddd")="Sun",AD$13="",$D62=""),"",IF('Leave Planner'!AB63="",1,0))</f>
        <v/>
      </c>
      <c r="AE62" s="17" t="str">
        <f>IF(OR(TEXT(AE$13,"ddd")="Sun",AE$13="",$D62=""),"",IF('Leave Planner'!AC63="",1,0))</f>
        <v/>
      </c>
      <c r="AF62" s="17" t="str">
        <f>IF(OR(TEXT(AF$13,"ddd")="Sun",AF$13="",$D62=""),"",IF('Leave Planner'!AD63="",1,0))</f>
        <v/>
      </c>
      <c r="AG62" s="17" t="str">
        <f>IF(OR(TEXT(AG$13,"ddd")="Sun",AG$13="",$D62=""),"",IF('Leave Planner'!AE63="",1,0))</f>
        <v/>
      </c>
      <c r="AH62" s="17" t="str">
        <f>IF(OR(TEXT(AH$13,"ddd")="Sun",AH$13="",$D62=""),"",IF('Leave Planner'!AF63="",1,0))</f>
        <v/>
      </c>
      <c r="AI62" s="17" t="str">
        <f>IF(OR(TEXT(AI$13,"ddd")="Sun",AI$13="",$D62=""),"",IF('Leave Planner'!AG63="",1,0))</f>
        <v/>
      </c>
      <c r="AJ62" s="17" t="str">
        <f>IF(OR(TEXT(AJ$13,"ddd")="Sun",AJ$13="",$D62=""),"",IF('Leave Planner'!AH63="",1,0))</f>
        <v/>
      </c>
    </row>
    <row r="63" spans="2:36" x14ac:dyDescent="0.75">
      <c r="B63" s="15"/>
      <c r="C63" s="22"/>
      <c r="D63" s="22"/>
      <c r="E63" s="42" t="str">
        <f t="shared" si="5"/>
        <v/>
      </c>
      <c r="F63" s="17" t="str">
        <f>IF(OR(TEXT(F$13,"ddd")="Sun",F$13="",$D63=""),"",IF('Leave Planner'!D64="",1,0))</f>
        <v/>
      </c>
      <c r="G63" s="17" t="str">
        <f>IF(OR(TEXT(G$13,"ddd")="Sun",G$13="",$D63=""),"",IF('Leave Planner'!E64="",1,0))</f>
        <v/>
      </c>
      <c r="H63" s="17" t="str">
        <f>IF(OR(TEXT(H$13,"ddd")="Sun",H$13="",$D63=""),"",IF('Leave Planner'!F64="",1,0))</f>
        <v/>
      </c>
      <c r="I63" s="17" t="str">
        <f>IF(OR(TEXT(I$13,"ddd")="Sun",I$13="",$D63=""),"",IF('Leave Planner'!G64="",1,0))</f>
        <v/>
      </c>
      <c r="J63" s="17" t="str">
        <f>IF(OR(TEXT(J$13,"ddd")="Sun",J$13="",$D63=""),"",IF('Leave Planner'!H64="",1,0))</f>
        <v/>
      </c>
      <c r="K63" s="17" t="str">
        <f>IF(OR(TEXT(K$13,"ddd")="Sun",K$13="",$D63=""),"",IF('Leave Planner'!I64="",1,0))</f>
        <v/>
      </c>
      <c r="L63" s="17" t="str">
        <f>IF(OR(TEXT(L$13,"ddd")="Sun",L$13="",$D63=""),"",IF('Leave Planner'!J64="",1,0))</f>
        <v/>
      </c>
      <c r="M63" s="17" t="str">
        <f>IF(OR(TEXT(M$13,"ddd")="Sun",M$13="",$D63=""),"",IF('Leave Planner'!K64="",1,0))</f>
        <v/>
      </c>
      <c r="N63" s="17" t="str">
        <f>IF(OR(TEXT(N$13,"ddd")="Sun",N$13="",$D63=""),"",IF('Leave Planner'!L64="",1,0))</f>
        <v/>
      </c>
      <c r="O63" s="17" t="str">
        <f>IF(OR(TEXT(O$13,"ddd")="Sun",O$13="",$D63=""),"",IF('Leave Planner'!M64="",1,0))</f>
        <v/>
      </c>
      <c r="P63" s="17" t="str">
        <f>IF(OR(TEXT(P$13,"ddd")="Sun",P$13="",$D63=""),"",IF('Leave Planner'!N64="",1,0))</f>
        <v/>
      </c>
      <c r="Q63" s="17" t="str">
        <f>IF(OR(TEXT(Q$13,"ddd")="Sun",Q$13="",$D63=""),"",IF('Leave Planner'!O64="",1,0))</f>
        <v/>
      </c>
      <c r="R63" s="17" t="str">
        <f>IF(OR(TEXT(R$13,"ddd")="Sun",R$13="",$D63=""),"",IF('Leave Planner'!P64="",1,0))</f>
        <v/>
      </c>
      <c r="S63" s="17" t="str">
        <f>IF(OR(TEXT(S$13,"ddd")="Sun",S$13="",$D63=""),"",IF('Leave Planner'!Q64="",1,0))</f>
        <v/>
      </c>
      <c r="T63" s="17" t="str">
        <f>IF(OR(TEXT(T$13,"ddd")="Sun",T$13="",$D63=""),"",IF('Leave Planner'!R64="",1,0))</f>
        <v/>
      </c>
      <c r="U63" s="17" t="str">
        <f>IF(OR(TEXT(U$13,"ddd")="Sun",U$13="",$D63=""),"",IF('Leave Planner'!S64="",1,0))</f>
        <v/>
      </c>
      <c r="V63" s="17" t="str">
        <f>IF(OR(TEXT(V$13,"ddd")="Sun",V$13="",$D63=""),"",IF('Leave Planner'!T64="",1,0))</f>
        <v/>
      </c>
      <c r="W63" s="17" t="str">
        <f>IF(OR(TEXT(W$13,"ddd")="Sun",W$13="",$D63=""),"",IF('Leave Planner'!U64="",1,0))</f>
        <v/>
      </c>
      <c r="X63" s="17" t="str">
        <f>IF(OR(TEXT(X$13,"ddd")="Sun",X$13="",$D63=""),"",IF('Leave Planner'!V64="",1,0))</f>
        <v/>
      </c>
      <c r="Y63" s="17" t="str">
        <f>IF(OR(TEXT(Y$13,"ddd")="Sun",Y$13="",$D63=""),"",IF('Leave Planner'!W64="",1,0))</f>
        <v/>
      </c>
      <c r="Z63" s="17" t="str">
        <f>IF(OR(TEXT(Z$13,"ddd")="Sun",Z$13="",$D63=""),"",IF('Leave Planner'!X64="",1,0))</f>
        <v/>
      </c>
      <c r="AA63" s="17" t="str">
        <f>IF(OR(TEXT(AA$13,"ddd")="Sun",AA$13="",$D63=""),"",IF('Leave Planner'!Y64="",1,0))</f>
        <v/>
      </c>
      <c r="AB63" s="17" t="str">
        <f>IF(OR(TEXT(AB$13,"ddd")="Sun",AB$13="",$D63=""),"",IF('Leave Planner'!Z64="",1,0))</f>
        <v/>
      </c>
      <c r="AC63" s="17" t="str">
        <f>IF(OR(TEXT(AC$13,"ddd")="Sun",AC$13="",$D63=""),"",IF('Leave Planner'!AA64="",1,0))</f>
        <v/>
      </c>
      <c r="AD63" s="17" t="str">
        <f>IF(OR(TEXT(AD$13,"ddd")="Sun",AD$13="",$D63=""),"",IF('Leave Planner'!AB64="",1,0))</f>
        <v/>
      </c>
      <c r="AE63" s="17" t="str">
        <f>IF(OR(TEXT(AE$13,"ddd")="Sun",AE$13="",$D63=""),"",IF('Leave Planner'!AC64="",1,0))</f>
        <v/>
      </c>
      <c r="AF63" s="17" t="str">
        <f>IF(OR(TEXT(AF$13,"ddd")="Sun",AF$13="",$D63=""),"",IF('Leave Planner'!AD64="",1,0))</f>
        <v/>
      </c>
      <c r="AG63" s="17" t="str">
        <f>IF(OR(TEXT(AG$13,"ddd")="Sun",AG$13="",$D63=""),"",IF('Leave Planner'!AE64="",1,0))</f>
        <v/>
      </c>
      <c r="AH63" s="17" t="str">
        <f>IF(OR(TEXT(AH$13,"ddd")="Sun",AH$13="",$D63=""),"",IF('Leave Planner'!AF64="",1,0))</f>
        <v/>
      </c>
      <c r="AI63" s="17" t="str">
        <f>IF(OR(TEXT(AI$13,"ddd")="Sun",AI$13="",$D63=""),"",IF('Leave Planner'!AG64="",1,0))</f>
        <v/>
      </c>
      <c r="AJ63" s="17" t="str">
        <f>IF(OR(TEXT(AJ$13,"ddd")="Sun",AJ$13="",$D63=""),"",IF('Leave Planner'!AH64="",1,0))</f>
        <v/>
      </c>
    </row>
    <row r="64" spans="2:36" x14ac:dyDescent="0.75">
      <c r="B64" s="15"/>
      <c r="C64" s="22"/>
      <c r="D64" s="22"/>
      <c r="E64" s="42" t="str">
        <f t="shared" si="5"/>
        <v/>
      </c>
      <c r="F64" s="17" t="str">
        <f>IF(OR(TEXT(F$13,"ddd")="Sun",F$13="",$D64=""),"",IF('Leave Planner'!D65="",1,0))</f>
        <v/>
      </c>
      <c r="G64" s="17" t="str">
        <f>IF(OR(TEXT(G$13,"ddd")="Sun",G$13="",$D64=""),"",IF('Leave Planner'!E65="",1,0))</f>
        <v/>
      </c>
      <c r="H64" s="17" t="str">
        <f>IF(OR(TEXT(H$13,"ddd")="Sun",H$13="",$D64=""),"",IF('Leave Planner'!F65="",1,0))</f>
        <v/>
      </c>
      <c r="I64" s="17" t="str">
        <f>IF(OR(TEXT(I$13,"ddd")="Sun",I$13="",$D64=""),"",IF('Leave Planner'!G65="",1,0))</f>
        <v/>
      </c>
      <c r="J64" s="17" t="str">
        <f>IF(OR(TEXT(J$13,"ddd")="Sun",J$13="",$D64=""),"",IF('Leave Planner'!H65="",1,0))</f>
        <v/>
      </c>
      <c r="K64" s="17" t="str">
        <f>IF(OR(TEXT(K$13,"ddd")="Sun",K$13="",$D64=""),"",IF('Leave Planner'!I65="",1,0))</f>
        <v/>
      </c>
      <c r="L64" s="17" t="str">
        <f>IF(OR(TEXT(L$13,"ddd")="Sun",L$13="",$D64=""),"",IF('Leave Planner'!J65="",1,0))</f>
        <v/>
      </c>
      <c r="M64" s="17" t="str">
        <f>IF(OR(TEXT(M$13,"ddd")="Sun",M$13="",$D64=""),"",IF('Leave Planner'!K65="",1,0))</f>
        <v/>
      </c>
      <c r="N64" s="17" t="str">
        <f>IF(OR(TEXT(N$13,"ddd")="Sun",N$13="",$D64=""),"",IF('Leave Planner'!L65="",1,0))</f>
        <v/>
      </c>
      <c r="O64" s="17" t="str">
        <f>IF(OR(TEXT(O$13,"ddd")="Sun",O$13="",$D64=""),"",IF('Leave Planner'!M65="",1,0))</f>
        <v/>
      </c>
      <c r="P64" s="17" t="str">
        <f>IF(OR(TEXT(P$13,"ddd")="Sun",P$13="",$D64=""),"",IF('Leave Planner'!N65="",1,0))</f>
        <v/>
      </c>
      <c r="Q64" s="17" t="str">
        <f>IF(OR(TEXT(Q$13,"ddd")="Sun",Q$13="",$D64=""),"",IF('Leave Planner'!O65="",1,0))</f>
        <v/>
      </c>
      <c r="R64" s="17" t="str">
        <f>IF(OR(TEXT(R$13,"ddd")="Sun",R$13="",$D64=""),"",IF('Leave Planner'!P65="",1,0))</f>
        <v/>
      </c>
      <c r="S64" s="17" t="str">
        <f>IF(OR(TEXT(S$13,"ddd")="Sun",S$13="",$D64=""),"",IF('Leave Planner'!Q65="",1,0))</f>
        <v/>
      </c>
      <c r="T64" s="17" t="str">
        <f>IF(OR(TEXT(T$13,"ddd")="Sun",T$13="",$D64=""),"",IF('Leave Planner'!R65="",1,0))</f>
        <v/>
      </c>
      <c r="U64" s="17" t="str">
        <f>IF(OR(TEXT(U$13,"ddd")="Sun",U$13="",$D64=""),"",IF('Leave Planner'!S65="",1,0))</f>
        <v/>
      </c>
      <c r="V64" s="17" t="str">
        <f>IF(OR(TEXT(V$13,"ddd")="Sun",V$13="",$D64=""),"",IF('Leave Planner'!T65="",1,0))</f>
        <v/>
      </c>
      <c r="W64" s="17" t="str">
        <f>IF(OR(TEXT(W$13,"ddd")="Sun",W$13="",$D64=""),"",IF('Leave Planner'!U65="",1,0))</f>
        <v/>
      </c>
      <c r="X64" s="17" t="str">
        <f>IF(OR(TEXT(X$13,"ddd")="Sun",X$13="",$D64=""),"",IF('Leave Planner'!V65="",1,0))</f>
        <v/>
      </c>
      <c r="Y64" s="17" t="str">
        <f>IF(OR(TEXT(Y$13,"ddd")="Sun",Y$13="",$D64=""),"",IF('Leave Planner'!W65="",1,0))</f>
        <v/>
      </c>
      <c r="Z64" s="17" t="str">
        <f>IF(OR(TEXT(Z$13,"ddd")="Sun",Z$13="",$D64=""),"",IF('Leave Planner'!X65="",1,0))</f>
        <v/>
      </c>
      <c r="AA64" s="17" t="str">
        <f>IF(OR(TEXT(AA$13,"ddd")="Sun",AA$13="",$D64=""),"",IF('Leave Planner'!Y65="",1,0))</f>
        <v/>
      </c>
      <c r="AB64" s="17" t="str">
        <f>IF(OR(TEXT(AB$13,"ddd")="Sun",AB$13="",$D64=""),"",IF('Leave Planner'!Z65="",1,0))</f>
        <v/>
      </c>
      <c r="AC64" s="17" t="str">
        <f>IF(OR(TEXT(AC$13,"ddd")="Sun",AC$13="",$D64=""),"",IF('Leave Planner'!AA65="",1,0))</f>
        <v/>
      </c>
      <c r="AD64" s="17" t="str">
        <f>IF(OR(TEXT(AD$13,"ddd")="Sun",AD$13="",$D64=""),"",IF('Leave Planner'!AB65="",1,0))</f>
        <v/>
      </c>
      <c r="AE64" s="17" t="str">
        <f>IF(OR(TEXT(AE$13,"ddd")="Sun",AE$13="",$D64=""),"",IF('Leave Planner'!AC65="",1,0))</f>
        <v/>
      </c>
      <c r="AF64" s="17" t="str">
        <f>IF(OR(TEXT(AF$13,"ddd")="Sun",AF$13="",$D64=""),"",IF('Leave Planner'!AD65="",1,0))</f>
        <v/>
      </c>
      <c r="AG64" s="17" t="str">
        <f>IF(OR(TEXT(AG$13,"ddd")="Sun",AG$13="",$D64=""),"",IF('Leave Planner'!AE65="",1,0))</f>
        <v/>
      </c>
      <c r="AH64" s="17" t="str">
        <f>IF(OR(TEXT(AH$13,"ddd")="Sun",AH$13="",$D64=""),"",IF('Leave Planner'!AF65="",1,0))</f>
        <v/>
      </c>
      <c r="AI64" s="17" t="str">
        <f>IF(OR(TEXT(AI$13,"ddd")="Sun",AI$13="",$D64=""),"",IF('Leave Planner'!AG65="",1,0))</f>
        <v/>
      </c>
      <c r="AJ64" s="17" t="str">
        <f>IF(OR(TEXT(AJ$13,"ddd")="Sun",AJ$13="",$D64=""),"",IF('Leave Planner'!AH65="",1,0))</f>
        <v/>
      </c>
    </row>
    <row r="65" spans="2:36" x14ac:dyDescent="0.75">
      <c r="B65" s="15"/>
      <c r="C65" s="22"/>
      <c r="D65" s="22"/>
      <c r="E65" s="42" t="str">
        <f t="shared" si="5"/>
        <v/>
      </c>
      <c r="F65" s="17" t="str">
        <f>IF(OR(TEXT(F$13,"ddd")="Sun",F$13="",$D65=""),"",IF('Leave Planner'!D66="",1,0))</f>
        <v/>
      </c>
      <c r="G65" s="17" t="str">
        <f>IF(OR(TEXT(G$13,"ddd")="Sun",G$13="",$D65=""),"",IF('Leave Planner'!E66="",1,0))</f>
        <v/>
      </c>
      <c r="H65" s="17" t="str">
        <f>IF(OR(TEXT(H$13,"ddd")="Sun",H$13="",$D65=""),"",IF('Leave Planner'!F66="",1,0))</f>
        <v/>
      </c>
      <c r="I65" s="17" t="str">
        <f>IF(OR(TEXT(I$13,"ddd")="Sun",I$13="",$D65=""),"",IF('Leave Planner'!G66="",1,0))</f>
        <v/>
      </c>
      <c r="J65" s="17" t="str">
        <f>IF(OR(TEXT(J$13,"ddd")="Sun",J$13="",$D65=""),"",IF('Leave Planner'!H66="",1,0))</f>
        <v/>
      </c>
      <c r="K65" s="17" t="str">
        <f>IF(OR(TEXT(K$13,"ddd")="Sun",K$13="",$D65=""),"",IF('Leave Planner'!I66="",1,0))</f>
        <v/>
      </c>
      <c r="L65" s="17" t="str">
        <f>IF(OR(TEXT(L$13,"ddd")="Sun",L$13="",$D65=""),"",IF('Leave Planner'!J66="",1,0))</f>
        <v/>
      </c>
      <c r="M65" s="17" t="str">
        <f>IF(OR(TEXT(M$13,"ddd")="Sun",M$13="",$D65=""),"",IF('Leave Planner'!K66="",1,0))</f>
        <v/>
      </c>
      <c r="N65" s="17" t="str">
        <f>IF(OR(TEXT(N$13,"ddd")="Sun",N$13="",$D65=""),"",IF('Leave Planner'!L66="",1,0))</f>
        <v/>
      </c>
      <c r="O65" s="17" t="str">
        <f>IF(OR(TEXT(O$13,"ddd")="Sun",O$13="",$D65=""),"",IF('Leave Planner'!M66="",1,0))</f>
        <v/>
      </c>
      <c r="P65" s="17" t="str">
        <f>IF(OR(TEXT(P$13,"ddd")="Sun",P$13="",$D65=""),"",IF('Leave Planner'!N66="",1,0))</f>
        <v/>
      </c>
      <c r="Q65" s="17" t="str">
        <f>IF(OR(TEXT(Q$13,"ddd")="Sun",Q$13="",$D65=""),"",IF('Leave Planner'!O66="",1,0))</f>
        <v/>
      </c>
      <c r="R65" s="17" t="str">
        <f>IF(OR(TEXT(R$13,"ddd")="Sun",R$13="",$D65=""),"",IF('Leave Planner'!P66="",1,0))</f>
        <v/>
      </c>
      <c r="S65" s="17" t="str">
        <f>IF(OR(TEXT(S$13,"ddd")="Sun",S$13="",$D65=""),"",IF('Leave Planner'!Q66="",1,0))</f>
        <v/>
      </c>
      <c r="T65" s="17" t="str">
        <f>IF(OR(TEXT(T$13,"ddd")="Sun",T$13="",$D65=""),"",IF('Leave Planner'!R66="",1,0))</f>
        <v/>
      </c>
      <c r="U65" s="17" t="str">
        <f>IF(OR(TEXT(U$13,"ddd")="Sun",U$13="",$D65=""),"",IF('Leave Planner'!S66="",1,0))</f>
        <v/>
      </c>
      <c r="V65" s="17" t="str">
        <f>IF(OR(TEXT(V$13,"ddd")="Sun",V$13="",$D65=""),"",IF('Leave Planner'!T66="",1,0))</f>
        <v/>
      </c>
      <c r="W65" s="17" t="str">
        <f>IF(OR(TEXT(W$13,"ddd")="Sun",W$13="",$D65=""),"",IF('Leave Planner'!U66="",1,0))</f>
        <v/>
      </c>
      <c r="X65" s="17" t="str">
        <f>IF(OR(TEXT(X$13,"ddd")="Sun",X$13="",$D65=""),"",IF('Leave Planner'!V66="",1,0))</f>
        <v/>
      </c>
      <c r="Y65" s="17" t="str">
        <f>IF(OR(TEXT(Y$13,"ddd")="Sun",Y$13="",$D65=""),"",IF('Leave Planner'!W66="",1,0))</f>
        <v/>
      </c>
      <c r="Z65" s="17" t="str">
        <f>IF(OR(TEXT(Z$13,"ddd")="Sun",Z$13="",$D65=""),"",IF('Leave Planner'!X66="",1,0))</f>
        <v/>
      </c>
      <c r="AA65" s="17" t="str">
        <f>IF(OR(TEXT(AA$13,"ddd")="Sun",AA$13="",$D65=""),"",IF('Leave Planner'!Y66="",1,0))</f>
        <v/>
      </c>
      <c r="AB65" s="17" t="str">
        <f>IF(OR(TEXT(AB$13,"ddd")="Sun",AB$13="",$D65=""),"",IF('Leave Planner'!Z66="",1,0))</f>
        <v/>
      </c>
      <c r="AC65" s="17" t="str">
        <f>IF(OR(TEXT(AC$13,"ddd")="Sun",AC$13="",$D65=""),"",IF('Leave Planner'!AA66="",1,0))</f>
        <v/>
      </c>
      <c r="AD65" s="17" t="str">
        <f>IF(OR(TEXT(AD$13,"ddd")="Sun",AD$13="",$D65=""),"",IF('Leave Planner'!AB66="",1,0))</f>
        <v/>
      </c>
      <c r="AE65" s="17" t="str">
        <f>IF(OR(TEXT(AE$13,"ddd")="Sun",AE$13="",$D65=""),"",IF('Leave Planner'!AC66="",1,0))</f>
        <v/>
      </c>
      <c r="AF65" s="17" t="str">
        <f>IF(OR(TEXT(AF$13,"ddd")="Sun",AF$13="",$D65=""),"",IF('Leave Planner'!AD66="",1,0))</f>
        <v/>
      </c>
      <c r="AG65" s="17" t="str">
        <f>IF(OR(TEXT(AG$13,"ddd")="Sun",AG$13="",$D65=""),"",IF('Leave Planner'!AE66="",1,0))</f>
        <v/>
      </c>
      <c r="AH65" s="17" t="str">
        <f>IF(OR(TEXT(AH$13,"ddd")="Sun",AH$13="",$D65=""),"",IF('Leave Planner'!AF66="",1,0))</f>
        <v/>
      </c>
      <c r="AI65" s="17" t="str">
        <f>IF(OR(TEXT(AI$13,"ddd")="Sun",AI$13="",$D65=""),"",IF('Leave Planner'!AG66="",1,0))</f>
        <v/>
      </c>
      <c r="AJ65" s="17" t="str">
        <f>IF(OR(TEXT(AJ$13,"ddd")="Sun",AJ$13="",$D65=""),"",IF('Leave Planner'!AH66="",1,0))</f>
        <v/>
      </c>
    </row>
    <row r="66" spans="2:36" x14ac:dyDescent="0.75">
      <c r="B66" s="15"/>
      <c r="C66" s="22"/>
      <c r="D66" s="22"/>
      <c r="E66" s="42" t="str">
        <f t="shared" si="5"/>
        <v/>
      </c>
      <c r="F66" s="17" t="str">
        <f>IF(OR(TEXT(F$13,"ddd")="Sun",F$13="",$D66=""),"",IF('Leave Planner'!D67="",1,0))</f>
        <v/>
      </c>
      <c r="G66" s="17" t="str">
        <f>IF(OR(TEXT(G$13,"ddd")="Sun",G$13="",$D66=""),"",IF('Leave Planner'!E67="",1,0))</f>
        <v/>
      </c>
      <c r="H66" s="17" t="str">
        <f>IF(OR(TEXT(H$13,"ddd")="Sun",H$13="",$D66=""),"",IF('Leave Planner'!F67="",1,0))</f>
        <v/>
      </c>
      <c r="I66" s="17" t="str">
        <f>IF(OR(TEXT(I$13,"ddd")="Sun",I$13="",$D66=""),"",IF('Leave Planner'!G67="",1,0))</f>
        <v/>
      </c>
      <c r="J66" s="17" t="str">
        <f>IF(OR(TEXT(J$13,"ddd")="Sun",J$13="",$D66=""),"",IF('Leave Planner'!H67="",1,0))</f>
        <v/>
      </c>
      <c r="K66" s="17" t="str">
        <f>IF(OR(TEXT(K$13,"ddd")="Sun",K$13="",$D66=""),"",IF('Leave Planner'!I67="",1,0))</f>
        <v/>
      </c>
      <c r="L66" s="17" t="str">
        <f>IF(OR(TEXT(L$13,"ddd")="Sun",L$13="",$D66=""),"",IF('Leave Planner'!J67="",1,0))</f>
        <v/>
      </c>
      <c r="M66" s="17" t="str">
        <f>IF(OR(TEXT(M$13,"ddd")="Sun",M$13="",$D66=""),"",IF('Leave Planner'!K67="",1,0))</f>
        <v/>
      </c>
      <c r="N66" s="17" t="str">
        <f>IF(OR(TEXT(N$13,"ddd")="Sun",N$13="",$D66=""),"",IF('Leave Planner'!L67="",1,0))</f>
        <v/>
      </c>
      <c r="O66" s="17" t="str">
        <f>IF(OR(TEXT(O$13,"ddd")="Sun",O$13="",$D66=""),"",IF('Leave Planner'!M67="",1,0))</f>
        <v/>
      </c>
      <c r="P66" s="17" t="str">
        <f>IF(OR(TEXT(P$13,"ddd")="Sun",P$13="",$D66=""),"",IF('Leave Planner'!N67="",1,0))</f>
        <v/>
      </c>
      <c r="Q66" s="17" t="str">
        <f>IF(OR(TEXT(Q$13,"ddd")="Sun",Q$13="",$D66=""),"",IF('Leave Planner'!O67="",1,0))</f>
        <v/>
      </c>
      <c r="R66" s="17" t="str">
        <f>IF(OR(TEXT(R$13,"ddd")="Sun",R$13="",$D66=""),"",IF('Leave Planner'!P67="",1,0))</f>
        <v/>
      </c>
      <c r="S66" s="17" t="str">
        <f>IF(OR(TEXT(S$13,"ddd")="Sun",S$13="",$D66=""),"",IF('Leave Planner'!Q67="",1,0))</f>
        <v/>
      </c>
      <c r="T66" s="17" t="str">
        <f>IF(OR(TEXT(T$13,"ddd")="Sun",T$13="",$D66=""),"",IF('Leave Planner'!R67="",1,0))</f>
        <v/>
      </c>
      <c r="U66" s="17" t="str">
        <f>IF(OR(TEXT(U$13,"ddd")="Sun",U$13="",$D66=""),"",IF('Leave Planner'!S67="",1,0))</f>
        <v/>
      </c>
      <c r="V66" s="17" t="str">
        <f>IF(OR(TEXT(V$13,"ddd")="Sun",V$13="",$D66=""),"",IF('Leave Planner'!T67="",1,0))</f>
        <v/>
      </c>
      <c r="W66" s="17" t="str">
        <f>IF(OR(TEXT(W$13,"ddd")="Sun",W$13="",$D66=""),"",IF('Leave Planner'!U67="",1,0))</f>
        <v/>
      </c>
      <c r="X66" s="17" t="str">
        <f>IF(OR(TEXT(X$13,"ddd")="Sun",X$13="",$D66=""),"",IF('Leave Planner'!V67="",1,0))</f>
        <v/>
      </c>
      <c r="Y66" s="17" t="str">
        <f>IF(OR(TEXT(Y$13,"ddd")="Sun",Y$13="",$D66=""),"",IF('Leave Planner'!W67="",1,0))</f>
        <v/>
      </c>
      <c r="Z66" s="17" t="str">
        <f>IF(OR(TEXT(Z$13,"ddd")="Sun",Z$13="",$D66=""),"",IF('Leave Planner'!X67="",1,0))</f>
        <v/>
      </c>
      <c r="AA66" s="17" t="str">
        <f>IF(OR(TEXT(AA$13,"ddd")="Sun",AA$13="",$D66=""),"",IF('Leave Planner'!Y67="",1,0))</f>
        <v/>
      </c>
      <c r="AB66" s="17" t="str">
        <f>IF(OR(TEXT(AB$13,"ddd")="Sun",AB$13="",$D66=""),"",IF('Leave Planner'!Z67="",1,0))</f>
        <v/>
      </c>
      <c r="AC66" s="17" t="str">
        <f>IF(OR(TEXT(AC$13,"ddd")="Sun",AC$13="",$D66=""),"",IF('Leave Planner'!AA67="",1,0))</f>
        <v/>
      </c>
      <c r="AD66" s="17" t="str">
        <f>IF(OR(TEXT(AD$13,"ddd")="Sun",AD$13="",$D66=""),"",IF('Leave Planner'!AB67="",1,0))</f>
        <v/>
      </c>
      <c r="AE66" s="17" t="str">
        <f>IF(OR(TEXT(AE$13,"ddd")="Sun",AE$13="",$D66=""),"",IF('Leave Planner'!AC67="",1,0))</f>
        <v/>
      </c>
      <c r="AF66" s="17" t="str">
        <f>IF(OR(TEXT(AF$13,"ddd")="Sun",AF$13="",$D66=""),"",IF('Leave Planner'!AD67="",1,0))</f>
        <v/>
      </c>
      <c r="AG66" s="17" t="str">
        <f>IF(OR(TEXT(AG$13,"ddd")="Sun",AG$13="",$D66=""),"",IF('Leave Planner'!AE67="",1,0))</f>
        <v/>
      </c>
      <c r="AH66" s="17" t="str">
        <f>IF(OR(TEXT(AH$13,"ddd")="Sun",AH$13="",$D66=""),"",IF('Leave Planner'!AF67="",1,0))</f>
        <v/>
      </c>
      <c r="AI66" s="17" t="str">
        <f>IF(OR(TEXT(AI$13,"ddd")="Sun",AI$13="",$D66=""),"",IF('Leave Planner'!AG67="",1,0))</f>
        <v/>
      </c>
      <c r="AJ66" s="17" t="str">
        <f>IF(OR(TEXT(AJ$13,"ddd")="Sun",AJ$13="",$D66=""),"",IF('Leave Planner'!AH67="",1,0))</f>
        <v/>
      </c>
    </row>
    <row r="67" spans="2:36" x14ac:dyDescent="0.75">
      <c r="B67" s="15"/>
      <c r="C67" s="22"/>
      <c r="D67" s="22"/>
      <c r="E67" s="42" t="str">
        <f t="shared" si="5"/>
        <v/>
      </c>
      <c r="F67" s="17" t="str">
        <f>IF(OR(TEXT(F$13,"ddd")="Sun",F$13="",$D67=""),"",IF('Leave Planner'!D68="",1,0))</f>
        <v/>
      </c>
      <c r="G67" s="17" t="str">
        <f>IF(OR(TEXT(G$13,"ddd")="Sun",G$13="",$D67=""),"",IF('Leave Planner'!E68="",1,0))</f>
        <v/>
      </c>
      <c r="H67" s="17" t="str">
        <f>IF(OR(TEXT(H$13,"ddd")="Sun",H$13="",$D67=""),"",IF('Leave Planner'!F68="",1,0))</f>
        <v/>
      </c>
      <c r="I67" s="17" t="str">
        <f>IF(OR(TEXT(I$13,"ddd")="Sun",I$13="",$D67=""),"",IF('Leave Planner'!G68="",1,0))</f>
        <v/>
      </c>
      <c r="J67" s="17" t="str">
        <f>IF(OR(TEXT(J$13,"ddd")="Sun",J$13="",$D67=""),"",IF('Leave Planner'!H68="",1,0))</f>
        <v/>
      </c>
      <c r="K67" s="17" t="str">
        <f>IF(OR(TEXT(K$13,"ddd")="Sun",K$13="",$D67=""),"",IF('Leave Planner'!I68="",1,0))</f>
        <v/>
      </c>
      <c r="L67" s="17" t="str">
        <f>IF(OR(TEXT(L$13,"ddd")="Sun",L$13="",$D67=""),"",IF('Leave Planner'!J68="",1,0))</f>
        <v/>
      </c>
      <c r="M67" s="17" t="str">
        <f>IF(OR(TEXT(M$13,"ddd")="Sun",M$13="",$D67=""),"",IF('Leave Planner'!K68="",1,0))</f>
        <v/>
      </c>
      <c r="N67" s="17" t="str">
        <f>IF(OR(TEXT(N$13,"ddd")="Sun",N$13="",$D67=""),"",IF('Leave Planner'!L68="",1,0))</f>
        <v/>
      </c>
      <c r="O67" s="17" t="str">
        <f>IF(OR(TEXT(O$13,"ddd")="Sun",O$13="",$D67=""),"",IF('Leave Planner'!M68="",1,0))</f>
        <v/>
      </c>
      <c r="P67" s="17" t="str">
        <f>IF(OR(TEXT(P$13,"ddd")="Sun",P$13="",$D67=""),"",IF('Leave Planner'!N68="",1,0))</f>
        <v/>
      </c>
      <c r="Q67" s="17" t="str">
        <f>IF(OR(TEXT(Q$13,"ddd")="Sun",Q$13="",$D67=""),"",IF('Leave Planner'!O68="",1,0))</f>
        <v/>
      </c>
      <c r="R67" s="17" t="str">
        <f>IF(OR(TEXT(R$13,"ddd")="Sun",R$13="",$D67=""),"",IF('Leave Planner'!P68="",1,0))</f>
        <v/>
      </c>
      <c r="S67" s="17" t="str">
        <f>IF(OR(TEXT(S$13,"ddd")="Sun",S$13="",$D67=""),"",IF('Leave Planner'!Q68="",1,0))</f>
        <v/>
      </c>
      <c r="T67" s="17" t="str">
        <f>IF(OR(TEXT(T$13,"ddd")="Sun",T$13="",$D67=""),"",IF('Leave Planner'!R68="",1,0))</f>
        <v/>
      </c>
      <c r="U67" s="17" t="str">
        <f>IF(OR(TEXT(U$13,"ddd")="Sun",U$13="",$D67=""),"",IF('Leave Planner'!S68="",1,0))</f>
        <v/>
      </c>
      <c r="V67" s="17" t="str">
        <f>IF(OR(TEXT(V$13,"ddd")="Sun",V$13="",$D67=""),"",IF('Leave Planner'!T68="",1,0))</f>
        <v/>
      </c>
      <c r="W67" s="17" t="str">
        <f>IF(OR(TEXT(W$13,"ddd")="Sun",W$13="",$D67=""),"",IF('Leave Planner'!U68="",1,0))</f>
        <v/>
      </c>
      <c r="X67" s="17" t="str">
        <f>IF(OR(TEXT(X$13,"ddd")="Sun",X$13="",$D67=""),"",IF('Leave Planner'!V68="",1,0))</f>
        <v/>
      </c>
      <c r="Y67" s="17" t="str">
        <f>IF(OR(TEXT(Y$13,"ddd")="Sun",Y$13="",$D67=""),"",IF('Leave Planner'!W68="",1,0))</f>
        <v/>
      </c>
      <c r="Z67" s="17" t="str">
        <f>IF(OR(TEXT(Z$13,"ddd")="Sun",Z$13="",$D67=""),"",IF('Leave Planner'!X68="",1,0))</f>
        <v/>
      </c>
      <c r="AA67" s="17" t="str">
        <f>IF(OR(TEXT(AA$13,"ddd")="Sun",AA$13="",$D67=""),"",IF('Leave Planner'!Y68="",1,0))</f>
        <v/>
      </c>
      <c r="AB67" s="17" t="str">
        <f>IF(OR(TEXT(AB$13,"ddd")="Sun",AB$13="",$D67=""),"",IF('Leave Planner'!Z68="",1,0))</f>
        <v/>
      </c>
      <c r="AC67" s="17" t="str">
        <f>IF(OR(TEXT(AC$13,"ddd")="Sun",AC$13="",$D67=""),"",IF('Leave Planner'!AA68="",1,0))</f>
        <v/>
      </c>
      <c r="AD67" s="17" t="str">
        <f>IF(OR(TEXT(AD$13,"ddd")="Sun",AD$13="",$D67=""),"",IF('Leave Planner'!AB68="",1,0))</f>
        <v/>
      </c>
      <c r="AE67" s="17" t="str">
        <f>IF(OR(TEXT(AE$13,"ddd")="Sun",AE$13="",$D67=""),"",IF('Leave Planner'!AC68="",1,0))</f>
        <v/>
      </c>
      <c r="AF67" s="17" t="str">
        <f>IF(OR(TEXT(AF$13,"ddd")="Sun",AF$13="",$D67=""),"",IF('Leave Planner'!AD68="",1,0))</f>
        <v/>
      </c>
      <c r="AG67" s="17" t="str">
        <f>IF(OR(TEXT(AG$13,"ddd")="Sun",AG$13="",$D67=""),"",IF('Leave Planner'!AE68="",1,0))</f>
        <v/>
      </c>
      <c r="AH67" s="17" t="str">
        <f>IF(OR(TEXT(AH$13,"ddd")="Sun",AH$13="",$D67=""),"",IF('Leave Planner'!AF68="",1,0))</f>
        <v/>
      </c>
      <c r="AI67" s="17" t="str">
        <f>IF(OR(TEXT(AI$13,"ddd")="Sun",AI$13="",$D67=""),"",IF('Leave Planner'!AG68="",1,0))</f>
        <v/>
      </c>
      <c r="AJ67" s="17" t="str">
        <f>IF(OR(TEXT(AJ$13,"ddd")="Sun",AJ$13="",$D67=""),"",IF('Leave Planner'!AH68="",1,0))</f>
        <v/>
      </c>
    </row>
    <row r="68" spans="2:36" x14ac:dyDescent="0.75">
      <c r="B68" s="15"/>
      <c r="C68" s="22"/>
      <c r="D68" s="22"/>
      <c r="E68" s="42" t="str">
        <f t="shared" si="5"/>
        <v/>
      </c>
      <c r="F68" s="17" t="str">
        <f>IF(OR(TEXT(F$13,"ddd")="Sun",F$13="",$D68=""),"",IF('Leave Planner'!D69="",1,0))</f>
        <v/>
      </c>
      <c r="G68" s="17" t="str">
        <f>IF(OR(TEXT(G$13,"ddd")="Sun",G$13="",$D68=""),"",IF('Leave Planner'!E69="",1,0))</f>
        <v/>
      </c>
      <c r="H68" s="17" t="str">
        <f>IF(OR(TEXT(H$13,"ddd")="Sun",H$13="",$D68=""),"",IF('Leave Planner'!F69="",1,0))</f>
        <v/>
      </c>
      <c r="I68" s="17" t="str">
        <f>IF(OR(TEXT(I$13,"ddd")="Sun",I$13="",$D68=""),"",IF('Leave Planner'!G69="",1,0))</f>
        <v/>
      </c>
      <c r="J68" s="17" t="str">
        <f>IF(OR(TEXT(J$13,"ddd")="Sun",J$13="",$D68=""),"",IF('Leave Planner'!H69="",1,0))</f>
        <v/>
      </c>
      <c r="K68" s="17" t="str">
        <f>IF(OR(TEXT(K$13,"ddd")="Sun",K$13="",$D68=""),"",IF('Leave Planner'!I69="",1,0))</f>
        <v/>
      </c>
      <c r="L68" s="17" t="str">
        <f>IF(OR(TEXT(L$13,"ddd")="Sun",L$13="",$D68=""),"",IF('Leave Planner'!J69="",1,0))</f>
        <v/>
      </c>
      <c r="M68" s="17" t="str">
        <f>IF(OR(TEXT(M$13,"ddd")="Sun",M$13="",$D68=""),"",IF('Leave Planner'!K69="",1,0))</f>
        <v/>
      </c>
      <c r="N68" s="17" t="str">
        <f>IF(OR(TEXT(N$13,"ddd")="Sun",N$13="",$D68=""),"",IF('Leave Planner'!L69="",1,0))</f>
        <v/>
      </c>
      <c r="O68" s="17" t="str">
        <f>IF(OR(TEXT(O$13,"ddd")="Sun",O$13="",$D68=""),"",IF('Leave Planner'!M69="",1,0))</f>
        <v/>
      </c>
      <c r="P68" s="17" t="str">
        <f>IF(OR(TEXT(P$13,"ddd")="Sun",P$13="",$D68=""),"",IF('Leave Planner'!N69="",1,0))</f>
        <v/>
      </c>
      <c r="Q68" s="17" t="str">
        <f>IF(OR(TEXT(Q$13,"ddd")="Sun",Q$13="",$D68=""),"",IF('Leave Planner'!O69="",1,0))</f>
        <v/>
      </c>
      <c r="R68" s="17" t="str">
        <f>IF(OR(TEXT(R$13,"ddd")="Sun",R$13="",$D68=""),"",IF('Leave Planner'!P69="",1,0))</f>
        <v/>
      </c>
      <c r="S68" s="17" t="str">
        <f>IF(OR(TEXT(S$13,"ddd")="Sun",S$13="",$D68=""),"",IF('Leave Planner'!Q69="",1,0))</f>
        <v/>
      </c>
      <c r="T68" s="17" t="str">
        <f>IF(OR(TEXT(T$13,"ddd")="Sun",T$13="",$D68=""),"",IF('Leave Planner'!R69="",1,0))</f>
        <v/>
      </c>
      <c r="U68" s="17" t="str">
        <f>IF(OR(TEXT(U$13,"ddd")="Sun",U$13="",$D68=""),"",IF('Leave Planner'!S69="",1,0))</f>
        <v/>
      </c>
      <c r="V68" s="17" t="str">
        <f>IF(OR(TEXT(V$13,"ddd")="Sun",V$13="",$D68=""),"",IF('Leave Planner'!T69="",1,0))</f>
        <v/>
      </c>
      <c r="W68" s="17" t="str">
        <f>IF(OR(TEXT(W$13,"ddd")="Sun",W$13="",$D68=""),"",IF('Leave Planner'!U69="",1,0))</f>
        <v/>
      </c>
      <c r="X68" s="17" t="str">
        <f>IF(OR(TEXT(X$13,"ddd")="Sun",X$13="",$D68=""),"",IF('Leave Planner'!V69="",1,0))</f>
        <v/>
      </c>
      <c r="Y68" s="17" t="str">
        <f>IF(OR(TEXT(Y$13,"ddd")="Sun",Y$13="",$D68=""),"",IF('Leave Planner'!W69="",1,0))</f>
        <v/>
      </c>
      <c r="Z68" s="17" t="str">
        <f>IF(OR(TEXT(Z$13,"ddd")="Sun",Z$13="",$D68=""),"",IF('Leave Planner'!X69="",1,0))</f>
        <v/>
      </c>
      <c r="AA68" s="17" t="str">
        <f>IF(OR(TEXT(AA$13,"ddd")="Sun",AA$13="",$D68=""),"",IF('Leave Planner'!Y69="",1,0))</f>
        <v/>
      </c>
      <c r="AB68" s="17" t="str">
        <f>IF(OR(TEXT(AB$13,"ddd")="Sun",AB$13="",$D68=""),"",IF('Leave Planner'!Z69="",1,0))</f>
        <v/>
      </c>
      <c r="AC68" s="17" t="str">
        <f>IF(OR(TEXT(AC$13,"ddd")="Sun",AC$13="",$D68=""),"",IF('Leave Planner'!AA69="",1,0))</f>
        <v/>
      </c>
      <c r="AD68" s="17" t="str">
        <f>IF(OR(TEXT(AD$13,"ddd")="Sun",AD$13="",$D68=""),"",IF('Leave Planner'!AB69="",1,0))</f>
        <v/>
      </c>
      <c r="AE68" s="17" t="str">
        <f>IF(OR(TEXT(AE$13,"ddd")="Sun",AE$13="",$D68=""),"",IF('Leave Planner'!AC69="",1,0))</f>
        <v/>
      </c>
      <c r="AF68" s="17" t="str">
        <f>IF(OR(TEXT(AF$13,"ddd")="Sun",AF$13="",$D68=""),"",IF('Leave Planner'!AD69="",1,0))</f>
        <v/>
      </c>
      <c r="AG68" s="17" t="str">
        <f>IF(OR(TEXT(AG$13,"ddd")="Sun",AG$13="",$D68=""),"",IF('Leave Planner'!AE69="",1,0))</f>
        <v/>
      </c>
      <c r="AH68" s="17" t="str">
        <f>IF(OR(TEXT(AH$13,"ddd")="Sun",AH$13="",$D68=""),"",IF('Leave Planner'!AF69="",1,0))</f>
        <v/>
      </c>
      <c r="AI68" s="17" t="str">
        <f>IF(OR(TEXT(AI$13,"ddd")="Sun",AI$13="",$D68=""),"",IF('Leave Planner'!AG69="",1,0))</f>
        <v/>
      </c>
      <c r="AJ68" s="17" t="str">
        <f>IF(OR(TEXT(AJ$13,"ddd")="Sun",AJ$13="",$D68=""),"",IF('Leave Planner'!AH69="",1,0))</f>
        <v/>
      </c>
    </row>
    <row r="69" spans="2:36" x14ac:dyDescent="0.75">
      <c r="B69" s="15"/>
      <c r="C69" s="22"/>
      <c r="D69" s="22"/>
      <c r="E69" s="42" t="str">
        <f t="shared" si="5"/>
        <v/>
      </c>
      <c r="F69" s="17" t="str">
        <f>IF(OR(TEXT(F$13,"ddd")="Sun",F$13="",$D69=""),"",IF('Leave Planner'!D70="",1,0))</f>
        <v/>
      </c>
      <c r="G69" s="17" t="str">
        <f>IF(OR(TEXT(G$13,"ddd")="Sun",G$13="",$D69=""),"",IF('Leave Planner'!E70="",1,0))</f>
        <v/>
      </c>
      <c r="H69" s="17" t="str">
        <f>IF(OR(TEXT(H$13,"ddd")="Sun",H$13="",$D69=""),"",IF('Leave Planner'!F70="",1,0))</f>
        <v/>
      </c>
      <c r="I69" s="17" t="str">
        <f>IF(OR(TEXT(I$13,"ddd")="Sun",I$13="",$D69=""),"",IF('Leave Planner'!G70="",1,0))</f>
        <v/>
      </c>
      <c r="J69" s="17" t="str">
        <f>IF(OR(TEXT(J$13,"ddd")="Sun",J$13="",$D69=""),"",IF('Leave Planner'!H70="",1,0))</f>
        <v/>
      </c>
      <c r="K69" s="17" t="str">
        <f>IF(OR(TEXT(K$13,"ddd")="Sun",K$13="",$D69=""),"",IF('Leave Planner'!I70="",1,0))</f>
        <v/>
      </c>
      <c r="L69" s="17" t="str">
        <f>IF(OR(TEXT(L$13,"ddd")="Sun",L$13="",$D69=""),"",IF('Leave Planner'!J70="",1,0))</f>
        <v/>
      </c>
      <c r="M69" s="17" t="str">
        <f>IF(OR(TEXT(M$13,"ddd")="Sun",M$13="",$D69=""),"",IF('Leave Planner'!K70="",1,0))</f>
        <v/>
      </c>
      <c r="N69" s="17" t="str">
        <f>IF(OR(TEXT(N$13,"ddd")="Sun",N$13="",$D69=""),"",IF('Leave Planner'!L70="",1,0))</f>
        <v/>
      </c>
      <c r="O69" s="17" t="str">
        <f>IF(OR(TEXT(O$13,"ddd")="Sun",O$13="",$D69=""),"",IF('Leave Planner'!M70="",1,0))</f>
        <v/>
      </c>
      <c r="P69" s="17" t="str">
        <f>IF(OR(TEXT(P$13,"ddd")="Sun",P$13="",$D69=""),"",IF('Leave Planner'!N70="",1,0))</f>
        <v/>
      </c>
      <c r="Q69" s="17" t="str">
        <f>IF(OR(TEXT(Q$13,"ddd")="Sun",Q$13="",$D69=""),"",IF('Leave Planner'!O70="",1,0))</f>
        <v/>
      </c>
      <c r="R69" s="17" t="str">
        <f>IF(OR(TEXT(R$13,"ddd")="Sun",R$13="",$D69=""),"",IF('Leave Planner'!P70="",1,0))</f>
        <v/>
      </c>
      <c r="S69" s="17" t="str">
        <f>IF(OR(TEXT(S$13,"ddd")="Sun",S$13="",$D69=""),"",IF('Leave Planner'!Q70="",1,0))</f>
        <v/>
      </c>
      <c r="T69" s="17" t="str">
        <f>IF(OR(TEXT(T$13,"ddd")="Sun",T$13="",$D69=""),"",IF('Leave Planner'!R70="",1,0))</f>
        <v/>
      </c>
      <c r="U69" s="17" t="str">
        <f>IF(OR(TEXT(U$13,"ddd")="Sun",U$13="",$D69=""),"",IF('Leave Planner'!S70="",1,0))</f>
        <v/>
      </c>
      <c r="V69" s="17" t="str">
        <f>IF(OR(TEXT(V$13,"ddd")="Sun",V$13="",$D69=""),"",IF('Leave Planner'!T70="",1,0))</f>
        <v/>
      </c>
      <c r="W69" s="17" t="str">
        <f>IF(OR(TEXT(W$13,"ddd")="Sun",W$13="",$D69=""),"",IF('Leave Planner'!U70="",1,0))</f>
        <v/>
      </c>
      <c r="X69" s="17" t="str">
        <f>IF(OR(TEXT(X$13,"ddd")="Sun",X$13="",$D69=""),"",IF('Leave Planner'!V70="",1,0))</f>
        <v/>
      </c>
      <c r="Y69" s="17" t="str">
        <f>IF(OR(TEXT(Y$13,"ddd")="Sun",Y$13="",$D69=""),"",IF('Leave Planner'!W70="",1,0))</f>
        <v/>
      </c>
      <c r="Z69" s="17" t="str">
        <f>IF(OR(TEXT(Z$13,"ddd")="Sun",Z$13="",$D69=""),"",IF('Leave Planner'!X70="",1,0))</f>
        <v/>
      </c>
      <c r="AA69" s="17" t="str">
        <f>IF(OR(TEXT(AA$13,"ddd")="Sun",AA$13="",$D69=""),"",IF('Leave Planner'!Y70="",1,0))</f>
        <v/>
      </c>
      <c r="AB69" s="17" t="str">
        <f>IF(OR(TEXT(AB$13,"ddd")="Sun",AB$13="",$D69=""),"",IF('Leave Planner'!Z70="",1,0))</f>
        <v/>
      </c>
      <c r="AC69" s="17" t="str">
        <f>IF(OR(TEXT(AC$13,"ddd")="Sun",AC$13="",$D69=""),"",IF('Leave Planner'!AA70="",1,0))</f>
        <v/>
      </c>
      <c r="AD69" s="17" t="str">
        <f>IF(OR(TEXT(AD$13,"ddd")="Sun",AD$13="",$D69=""),"",IF('Leave Planner'!AB70="",1,0))</f>
        <v/>
      </c>
      <c r="AE69" s="17" t="str">
        <f>IF(OR(TEXT(AE$13,"ddd")="Sun",AE$13="",$D69=""),"",IF('Leave Planner'!AC70="",1,0))</f>
        <v/>
      </c>
      <c r="AF69" s="17" t="str">
        <f>IF(OR(TEXT(AF$13,"ddd")="Sun",AF$13="",$D69=""),"",IF('Leave Planner'!AD70="",1,0))</f>
        <v/>
      </c>
      <c r="AG69" s="17" t="str">
        <f>IF(OR(TEXT(AG$13,"ddd")="Sun",AG$13="",$D69=""),"",IF('Leave Planner'!AE70="",1,0))</f>
        <v/>
      </c>
      <c r="AH69" s="17" t="str">
        <f>IF(OR(TEXT(AH$13,"ddd")="Sun",AH$13="",$D69=""),"",IF('Leave Planner'!AF70="",1,0))</f>
        <v/>
      </c>
      <c r="AI69" s="17" t="str">
        <f>IF(OR(TEXT(AI$13,"ddd")="Sun",AI$13="",$D69=""),"",IF('Leave Planner'!AG70="",1,0))</f>
        <v/>
      </c>
      <c r="AJ69" s="17" t="str">
        <f>IF(OR(TEXT(AJ$13,"ddd")="Sun",AJ$13="",$D69=""),"",IF('Leave Planner'!AH70="",1,0))</f>
        <v/>
      </c>
    </row>
    <row r="70" spans="2:36" x14ac:dyDescent="0.75">
      <c r="B70" s="15"/>
      <c r="C70" s="22"/>
      <c r="D70" s="22"/>
      <c r="E70" s="42" t="str">
        <f t="shared" si="5"/>
        <v/>
      </c>
      <c r="F70" s="17" t="str">
        <f>IF(OR(TEXT(F$13,"ddd")="Sun",F$13="",$D70=""),"",IF('Leave Planner'!D71="",1,0))</f>
        <v/>
      </c>
      <c r="G70" s="17" t="str">
        <f>IF(OR(TEXT(G$13,"ddd")="Sun",G$13="",$D70=""),"",IF('Leave Planner'!E71="",1,0))</f>
        <v/>
      </c>
      <c r="H70" s="17" t="str">
        <f>IF(OR(TEXT(H$13,"ddd")="Sun",H$13="",$D70=""),"",IF('Leave Planner'!F71="",1,0))</f>
        <v/>
      </c>
      <c r="I70" s="17" t="str">
        <f>IF(OR(TEXT(I$13,"ddd")="Sun",I$13="",$D70=""),"",IF('Leave Planner'!G71="",1,0))</f>
        <v/>
      </c>
      <c r="J70" s="17" t="str">
        <f>IF(OR(TEXT(J$13,"ddd")="Sun",J$13="",$D70=""),"",IF('Leave Planner'!H71="",1,0))</f>
        <v/>
      </c>
      <c r="K70" s="17" t="str">
        <f>IF(OR(TEXT(K$13,"ddd")="Sun",K$13="",$D70=""),"",IF('Leave Planner'!I71="",1,0))</f>
        <v/>
      </c>
      <c r="L70" s="17" t="str">
        <f>IF(OR(TEXT(L$13,"ddd")="Sun",L$13="",$D70=""),"",IF('Leave Planner'!J71="",1,0))</f>
        <v/>
      </c>
      <c r="M70" s="17" t="str">
        <f>IF(OR(TEXT(M$13,"ddd")="Sun",M$13="",$D70=""),"",IF('Leave Planner'!K71="",1,0))</f>
        <v/>
      </c>
      <c r="N70" s="17" t="str">
        <f>IF(OR(TEXT(N$13,"ddd")="Sun",N$13="",$D70=""),"",IF('Leave Planner'!L71="",1,0))</f>
        <v/>
      </c>
      <c r="O70" s="17" t="str">
        <f>IF(OR(TEXT(O$13,"ddd")="Sun",O$13="",$D70=""),"",IF('Leave Planner'!M71="",1,0))</f>
        <v/>
      </c>
      <c r="P70" s="17" t="str">
        <f>IF(OR(TEXT(P$13,"ddd")="Sun",P$13="",$D70=""),"",IF('Leave Planner'!N71="",1,0))</f>
        <v/>
      </c>
      <c r="Q70" s="17" t="str">
        <f>IF(OR(TEXT(Q$13,"ddd")="Sun",Q$13="",$D70=""),"",IF('Leave Planner'!O71="",1,0))</f>
        <v/>
      </c>
      <c r="R70" s="17" t="str">
        <f>IF(OR(TEXT(R$13,"ddd")="Sun",R$13="",$D70=""),"",IF('Leave Planner'!P71="",1,0))</f>
        <v/>
      </c>
      <c r="S70" s="17" t="str">
        <f>IF(OR(TEXT(S$13,"ddd")="Sun",S$13="",$D70=""),"",IF('Leave Planner'!Q71="",1,0))</f>
        <v/>
      </c>
      <c r="T70" s="17" t="str">
        <f>IF(OR(TEXT(T$13,"ddd")="Sun",T$13="",$D70=""),"",IF('Leave Planner'!R71="",1,0))</f>
        <v/>
      </c>
      <c r="U70" s="17" t="str">
        <f>IF(OR(TEXT(U$13,"ddd")="Sun",U$13="",$D70=""),"",IF('Leave Planner'!S71="",1,0))</f>
        <v/>
      </c>
      <c r="V70" s="17" t="str">
        <f>IF(OR(TEXT(V$13,"ddd")="Sun",V$13="",$D70=""),"",IF('Leave Planner'!T71="",1,0))</f>
        <v/>
      </c>
      <c r="W70" s="17" t="str">
        <f>IF(OR(TEXT(W$13,"ddd")="Sun",W$13="",$D70=""),"",IF('Leave Planner'!U71="",1,0))</f>
        <v/>
      </c>
      <c r="X70" s="17" t="str">
        <f>IF(OR(TEXT(X$13,"ddd")="Sun",X$13="",$D70=""),"",IF('Leave Planner'!V71="",1,0))</f>
        <v/>
      </c>
      <c r="Y70" s="17" t="str">
        <f>IF(OR(TEXT(Y$13,"ddd")="Sun",Y$13="",$D70=""),"",IF('Leave Planner'!W71="",1,0))</f>
        <v/>
      </c>
      <c r="Z70" s="17" t="str">
        <f>IF(OR(TEXT(Z$13,"ddd")="Sun",Z$13="",$D70=""),"",IF('Leave Planner'!X71="",1,0))</f>
        <v/>
      </c>
      <c r="AA70" s="17" t="str">
        <f>IF(OR(TEXT(AA$13,"ddd")="Sun",AA$13="",$D70=""),"",IF('Leave Planner'!Y71="",1,0))</f>
        <v/>
      </c>
      <c r="AB70" s="17" t="str">
        <f>IF(OR(TEXT(AB$13,"ddd")="Sun",AB$13="",$D70=""),"",IF('Leave Planner'!Z71="",1,0))</f>
        <v/>
      </c>
      <c r="AC70" s="17" t="str">
        <f>IF(OR(TEXT(AC$13,"ddd")="Sun",AC$13="",$D70=""),"",IF('Leave Planner'!AA71="",1,0))</f>
        <v/>
      </c>
      <c r="AD70" s="17" t="str">
        <f>IF(OR(TEXT(AD$13,"ddd")="Sun",AD$13="",$D70=""),"",IF('Leave Planner'!AB71="",1,0))</f>
        <v/>
      </c>
      <c r="AE70" s="17" t="str">
        <f>IF(OR(TEXT(AE$13,"ddd")="Sun",AE$13="",$D70=""),"",IF('Leave Planner'!AC71="",1,0))</f>
        <v/>
      </c>
      <c r="AF70" s="17" t="str">
        <f>IF(OR(TEXT(AF$13,"ddd")="Sun",AF$13="",$D70=""),"",IF('Leave Planner'!AD71="",1,0))</f>
        <v/>
      </c>
      <c r="AG70" s="17" t="str">
        <f>IF(OR(TEXT(AG$13,"ddd")="Sun",AG$13="",$D70=""),"",IF('Leave Planner'!AE71="",1,0))</f>
        <v/>
      </c>
      <c r="AH70" s="17" t="str">
        <f>IF(OR(TEXT(AH$13,"ddd")="Sun",AH$13="",$D70=""),"",IF('Leave Planner'!AF71="",1,0))</f>
        <v/>
      </c>
      <c r="AI70" s="17" t="str">
        <f>IF(OR(TEXT(AI$13,"ddd")="Sun",AI$13="",$D70=""),"",IF('Leave Planner'!AG71="",1,0))</f>
        <v/>
      </c>
      <c r="AJ70" s="17" t="str">
        <f>IF(OR(TEXT(AJ$13,"ddd")="Sun",AJ$13="",$D70=""),"",IF('Leave Planner'!AH71="",1,0))</f>
        <v/>
      </c>
    </row>
    <row r="71" spans="2:36" x14ac:dyDescent="0.75">
      <c r="B71" s="15"/>
      <c r="C71" s="22"/>
      <c r="D71" s="22"/>
      <c r="E71" s="42" t="str">
        <f t="shared" si="5"/>
        <v/>
      </c>
      <c r="F71" s="17" t="str">
        <f>IF(OR(TEXT(F$13,"ddd")="Sun",F$13="",$D71=""),"",IF('Leave Planner'!D72="",1,0))</f>
        <v/>
      </c>
      <c r="G71" s="17" t="str">
        <f>IF(OR(TEXT(G$13,"ddd")="Sun",G$13="",$D71=""),"",IF('Leave Planner'!E72="",1,0))</f>
        <v/>
      </c>
      <c r="H71" s="17" t="str">
        <f>IF(OR(TEXT(H$13,"ddd")="Sun",H$13="",$D71=""),"",IF('Leave Planner'!F72="",1,0))</f>
        <v/>
      </c>
      <c r="I71" s="17" t="str">
        <f>IF(OR(TEXT(I$13,"ddd")="Sun",I$13="",$D71=""),"",IF('Leave Planner'!G72="",1,0))</f>
        <v/>
      </c>
      <c r="J71" s="17" t="str">
        <f>IF(OR(TEXT(J$13,"ddd")="Sun",J$13="",$D71=""),"",IF('Leave Planner'!H72="",1,0))</f>
        <v/>
      </c>
      <c r="K71" s="17" t="str">
        <f>IF(OR(TEXT(K$13,"ddd")="Sun",K$13="",$D71=""),"",IF('Leave Planner'!I72="",1,0))</f>
        <v/>
      </c>
      <c r="L71" s="17" t="str">
        <f>IF(OR(TEXT(L$13,"ddd")="Sun",L$13="",$D71=""),"",IF('Leave Planner'!J72="",1,0))</f>
        <v/>
      </c>
      <c r="M71" s="17" t="str">
        <f>IF(OR(TEXT(M$13,"ddd")="Sun",M$13="",$D71=""),"",IF('Leave Planner'!K72="",1,0))</f>
        <v/>
      </c>
      <c r="N71" s="17" t="str">
        <f>IF(OR(TEXT(N$13,"ddd")="Sun",N$13="",$D71=""),"",IF('Leave Planner'!L72="",1,0))</f>
        <v/>
      </c>
      <c r="O71" s="17" t="str">
        <f>IF(OR(TEXT(O$13,"ddd")="Sun",O$13="",$D71=""),"",IF('Leave Planner'!M72="",1,0))</f>
        <v/>
      </c>
      <c r="P71" s="17" t="str">
        <f>IF(OR(TEXT(P$13,"ddd")="Sun",P$13="",$D71=""),"",IF('Leave Planner'!N72="",1,0))</f>
        <v/>
      </c>
      <c r="Q71" s="17" t="str">
        <f>IF(OR(TEXT(Q$13,"ddd")="Sun",Q$13="",$D71=""),"",IF('Leave Planner'!O72="",1,0))</f>
        <v/>
      </c>
      <c r="R71" s="17" t="str">
        <f>IF(OR(TEXT(R$13,"ddd")="Sun",R$13="",$D71=""),"",IF('Leave Planner'!P72="",1,0))</f>
        <v/>
      </c>
      <c r="S71" s="17" t="str">
        <f>IF(OR(TEXT(S$13,"ddd")="Sun",S$13="",$D71=""),"",IF('Leave Planner'!Q72="",1,0))</f>
        <v/>
      </c>
      <c r="T71" s="17" t="str">
        <f>IF(OR(TEXT(T$13,"ddd")="Sun",T$13="",$D71=""),"",IF('Leave Planner'!R72="",1,0))</f>
        <v/>
      </c>
      <c r="U71" s="17" t="str">
        <f>IF(OR(TEXT(U$13,"ddd")="Sun",U$13="",$D71=""),"",IF('Leave Planner'!S72="",1,0))</f>
        <v/>
      </c>
      <c r="V71" s="17" t="str">
        <f>IF(OR(TEXT(V$13,"ddd")="Sun",V$13="",$D71=""),"",IF('Leave Planner'!T72="",1,0))</f>
        <v/>
      </c>
      <c r="W71" s="17" t="str">
        <f>IF(OR(TEXT(W$13,"ddd")="Sun",W$13="",$D71=""),"",IF('Leave Planner'!U72="",1,0))</f>
        <v/>
      </c>
      <c r="X71" s="17" t="str">
        <f>IF(OR(TEXT(X$13,"ddd")="Sun",X$13="",$D71=""),"",IF('Leave Planner'!V72="",1,0))</f>
        <v/>
      </c>
      <c r="Y71" s="17" t="str">
        <f>IF(OR(TEXT(Y$13,"ddd")="Sun",Y$13="",$D71=""),"",IF('Leave Planner'!W72="",1,0))</f>
        <v/>
      </c>
      <c r="Z71" s="17" t="str">
        <f>IF(OR(TEXT(Z$13,"ddd")="Sun",Z$13="",$D71=""),"",IF('Leave Planner'!X72="",1,0))</f>
        <v/>
      </c>
      <c r="AA71" s="17" t="str">
        <f>IF(OR(TEXT(AA$13,"ddd")="Sun",AA$13="",$D71=""),"",IF('Leave Planner'!Y72="",1,0))</f>
        <v/>
      </c>
      <c r="AB71" s="17" t="str">
        <f>IF(OR(TEXT(AB$13,"ddd")="Sun",AB$13="",$D71=""),"",IF('Leave Planner'!Z72="",1,0))</f>
        <v/>
      </c>
      <c r="AC71" s="17" t="str">
        <f>IF(OR(TEXT(AC$13,"ddd")="Sun",AC$13="",$D71=""),"",IF('Leave Planner'!AA72="",1,0))</f>
        <v/>
      </c>
      <c r="AD71" s="17" t="str">
        <f>IF(OR(TEXT(AD$13,"ddd")="Sun",AD$13="",$D71=""),"",IF('Leave Planner'!AB72="",1,0))</f>
        <v/>
      </c>
      <c r="AE71" s="17" t="str">
        <f>IF(OR(TEXT(AE$13,"ddd")="Sun",AE$13="",$D71=""),"",IF('Leave Planner'!AC72="",1,0))</f>
        <v/>
      </c>
      <c r="AF71" s="17" t="str">
        <f>IF(OR(TEXT(AF$13,"ddd")="Sun",AF$13="",$D71=""),"",IF('Leave Planner'!AD72="",1,0))</f>
        <v/>
      </c>
      <c r="AG71" s="17" t="str">
        <f>IF(OR(TEXT(AG$13,"ddd")="Sun",AG$13="",$D71=""),"",IF('Leave Planner'!AE72="",1,0))</f>
        <v/>
      </c>
      <c r="AH71" s="17" t="str">
        <f>IF(OR(TEXT(AH$13,"ddd")="Sun",AH$13="",$D71=""),"",IF('Leave Planner'!AF72="",1,0))</f>
        <v/>
      </c>
      <c r="AI71" s="17" t="str">
        <f>IF(OR(TEXT(AI$13,"ddd")="Sun",AI$13="",$D71=""),"",IF('Leave Planner'!AG72="",1,0))</f>
        <v/>
      </c>
      <c r="AJ71" s="17" t="str">
        <f>IF(OR(TEXT(AJ$13,"ddd")="Sun",AJ$13="",$D71=""),"",IF('Leave Planner'!AH72="",1,0))</f>
        <v/>
      </c>
    </row>
    <row r="72" spans="2:36" x14ac:dyDescent="0.75">
      <c r="B72" s="15"/>
      <c r="C72" s="22"/>
      <c r="D72" s="22"/>
      <c r="E72" s="42" t="str">
        <f t="shared" si="5"/>
        <v/>
      </c>
      <c r="F72" s="17" t="str">
        <f>IF(OR(TEXT(F$13,"ddd")="Sun",F$13="",$D72=""),"",IF('Leave Planner'!D73="",1,0))</f>
        <v/>
      </c>
      <c r="G72" s="17" t="str">
        <f>IF(OR(TEXT(G$13,"ddd")="Sun",G$13="",$D72=""),"",IF('Leave Planner'!E73="",1,0))</f>
        <v/>
      </c>
      <c r="H72" s="17" t="str">
        <f>IF(OR(TEXT(H$13,"ddd")="Sun",H$13="",$D72=""),"",IF('Leave Planner'!F73="",1,0))</f>
        <v/>
      </c>
      <c r="I72" s="17" t="str">
        <f>IF(OR(TEXT(I$13,"ddd")="Sun",I$13="",$D72=""),"",IF('Leave Planner'!G73="",1,0))</f>
        <v/>
      </c>
      <c r="J72" s="17" t="str">
        <f>IF(OR(TEXT(J$13,"ddd")="Sun",J$13="",$D72=""),"",IF('Leave Planner'!H73="",1,0))</f>
        <v/>
      </c>
      <c r="K72" s="17" t="str">
        <f>IF(OR(TEXT(K$13,"ddd")="Sun",K$13="",$D72=""),"",IF('Leave Planner'!I73="",1,0))</f>
        <v/>
      </c>
      <c r="L72" s="17" t="str">
        <f>IF(OR(TEXT(L$13,"ddd")="Sun",L$13="",$D72=""),"",IF('Leave Planner'!J73="",1,0))</f>
        <v/>
      </c>
      <c r="M72" s="17" t="str">
        <f>IF(OR(TEXT(M$13,"ddd")="Sun",M$13="",$D72=""),"",IF('Leave Planner'!K73="",1,0))</f>
        <v/>
      </c>
      <c r="N72" s="17" t="str">
        <f>IF(OR(TEXT(N$13,"ddd")="Sun",N$13="",$D72=""),"",IF('Leave Planner'!L73="",1,0))</f>
        <v/>
      </c>
      <c r="O72" s="17" t="str">
        <f>IF(OR(TEXT(O$13,"ddd")="Sun",O$13="",$D72=""),"",IF('Leave Planner'!M73="",1,0))</f>
        <v/>
      </c>
      <c r="P72" s="17" t="str">
        <f>IF(OR(TEXT(P$13,"ddd")="Sun",P$13="",$D72=""),"",IF('Leave Planner'!N73="",1,0))</f>
        <v/>
      </c>
      <c r="Q72" s="17" t="str">
        <f>IF(OR(TEXT(Q$13,"ddd")="Sun",Q$13="",$D72=""),"",IF('Leave Planner'!O73="",1,0))</f>
        <v/>
      </c>
      <c r="R72" s="17" t="str">
        <f>IF(OR(TEXT(R$13,"ddd")="Sun",R$13="",$D72=""),"",IF('Leave Planner'!P73="",1,0))</f>
        <v/>
      </c>
      <c r="S72" s="17" t="str">
        <f>IF(OR(TEXT(S$13,"ddd")="Sun",S$13="",$D72=""),"",IF('Leave Planner'!Q73="",1,0))</f>
        <v/>
      </c>
      <c r="T72" s="17" t="str">
        <f>IF(OR(TEXT(T$13,"ddd")="Sun",T$13="",$D72=""),"",IF('Leave Planner'!R73="",1,0))</f>
        <v/>
      </c>
      <c r="U72" s="17" t="str">
        <f>IF(OR(TEXT(U$13,"ddd")="Sun",U$13="",$D72=""),"",IF('Leave Planner'!S73="",1,0))</f>
        <v/>
      </c>
      <c r="V72" s="17" t="str">
        <f>IF(OR(TEXT(V$13,"ddd")="Sun",V$13="",$D72=""),"",IF('Leave Planner'!T73="",1,0))</f>
        <v/>
      </c>
      <c r="W72" s="17" t="str">
        <f>IF(OR(TEXT(W$13,"ddd")="Sun",W$13="",$D72=""),"",IF('Leave Planner'!U73="",1,0))</f>
        <v/>
      </c>
      <c r="X72" s="17" t="str">
        <f>IF(OR(TEXT(X$13,"ddd")="Sun",X$13="",$D72=""),"",IF('Leave Planner'!V73="",1,0))</f>
        <v/>
      </c>
      <c r="Y72" s="17" t="str">
        <f>IF(OR(TEXT(Y$13,"ddd")="Sun",Y$13="",$D72=""),"",IF('Leave Planner'!W73="",1,0))</f>
        <v/>
      </c>
      <c r="Z72" s="17" t="str">
        <f>IF(OR(TEXT(Z$13,"ddd")="Sun",Z$13="",$D72=""),"",IF('Leave Planner'!X73="",1,0))</f>
        <v/>
      </c>
      <c r="AA72" s="17" t="str">
        <f>IF(OR(TEXT(AA$13,"ddd")="Sun",AA$13="",$D72=""),"",IF('Leave Planner'!Y73="",1,0))</f>
        <v/>
      </c>
      <c r="AB72" s="17" t="str">
        <f>IF(OR(TEXT(AB$13,"ddd")="Sun",AB$13="",$D72=""),"",IF('Leave Planner'!Z73="",1,0))</f>
        <v/>
      </c>
      <c r="AC72" s="17" t="str">
        <f>IF(OR(TEXT(AC$13,"ddd")="Sun",AC$13="",$D72=""),"",IF('Leave Planner'!AA73="",1,0))</f>
        <v/>
      </c>
      <c r="AD72" s="17" t="str">
        <f>IF(OR(TEXT(AD$13,"ddd")="Sun",AD$13="",$D72=""),"",IF('Leave Planner'!AB73="",1,0))</f>
        <v/>
      </c>
      <c r="AE72" s="17" t="str">
        <f>IF(OR(TEXT(AE$13,"ddd")="Sun",AE$13="",$D72=""),"",IF('Leave Planner'!AC73="",1,0))</f>
        <v/>
      </c>
      <c r="AF72" s="17" t="str">
        <f>IF(OR(TEXT(AF$13,"ddd")="Sun",AF$13="",$D72=""),"",IF('Leave Planner'!AD73="",1,0))</f>
        <v/>
      </c>
      <c r="AG72" s="17" t="str">
        <f>IF(OR(TEXT(AG$13,"ddd")="Sun",AG$13="",$D72=""),"",IF('Leave Planner'!AE73="",1,0))</f>
        <v/>
      </c>
      <c r="AH72" s="17" t="str">
        <f>IF(OR(TEXT(AH$13,"ddd")="Sun",AH$13="",$D72=""),"",IF('Leave Planner'!AF73="",1,0))</f>
        <v/>
      </c>
      <c r="AI72" s="17" t="str">
        <f>IF(OR(TEXT(AI$13,"ddd")="Sun",AI$13="",$D72=""),"",IF('Leave Planner'!AG73="",1,0))</f>
        <v/>
      </c>
      <c r="AJ72" s="17" t="str">
        <f>IF(OR(TEXT(AJ$13,"ddd")="Sun",AJ$13="",$D72=""),"",IF('Leave Planner'!AH73="",1,0))</f>
        <v/>
      </c>
    </row>
    <row r="73" spans="2:36" x14ac:dyDescent="0.75">
      <c r="B73" s="15"/>
      <c r="C73" s="22"/>
      <c r="D73" s="22"/>
      <c r="E73" s="42" t="str">
        <f t="shared" si="5"/>
        <v/>
      </c>
      <c r="F73" s="17" t="str">
        <f>IF(OR(TEXT(F$13,"ddd")="Sun",F$13="",$D73=""),"",IF('Leave Planner'!D74="",1,0))</f>
        <v/>
      </c>
      <c r="G73" s="17" t="str">
        <f>IF(OR(TEXT(G$13,"ddd")="Sun",G$13="",$D73=""),"",IF('Leave Planner'!E74="",1,0))</f>
        <v/>
      </c>
      <c r="H73" s="17" t="str">
        <f>IF(OR(TEXT(H$13,"ddd")="Sun",H$13="",$D73=""),"",IF('Leave Planner'!F74="",1,0))</f>
        <v/>
      </c>
      <c r="I73" s="17" t="str">
        <f>IF(OR(TEXT(I$13,"ddd")="Sun",I$13="",$D73=""),"",IF('Leave Planner'!G74="",1,0))</f>
        <v/>
      </c>
      <c r="J73" s="17" t="str">
        <f>IF(OR(TEXT(J$13,"ddd")="Sun",J$13="",$D73=""),"",IF('Leave Planner'!H74="",1,0))</f>
        <v/>
      </c>
      <c r="K73" s="17" t="str">
        <f>IF(OR(TEXT(K$13,"ddd")="Sun",K$13="",$D73=""),"",IF('Leave Planner'!I74="",1,0))</f>
        <v/>
      </c>
      <c r="L73" s="17" t="str">
        <f>IF(OR(TEXT(L$13,"ddd")="Sun",L$13="",$D73=""),"",IF('Leave Planner'!J74="",1,0))</f>
        <v/>
      </c>
      <c r="M73" s="17" t="str">
        <f>IF(OR(TEXT(M$13,"ddd")="Sun",M$13="",$D73=""),"",IF('Leave Planner'!K74="",1,0))</f>
        <v/>
      </c>
      <c r="N73" s="17" t="str">
        <f>IF(OR(TEXT(N$13,"ddd")="Sun",N$13="",$D73=""),"",IF('Leave Planner'!L74="",1,0))</f>
        <v/>
      </c>
      <c r="O73" s="17" t="str">
        <f>IF(OR(TEXT(O$13,"ddd")="Sun",O$13="",$D73=""),"",IF('Leave Planner'!M74="",1,0))</f>
        <v/>
      </c>
      <c r="P73" s="17" t="str">
        <f>IF(OR(TEXT(P$13,"ddd")="Sun",P$13="",$D73=""),"",IF('Leave Planner'!N74="",1,0))</f>
        <v/>
      </c>
      <c r="Q73" s="17" t="str">
        <f>IF(OR(TEXT(Q$13,"ddd")="Sun",Q$13="",$D73=""),"",IF('Leave Planner'!O74="",1,0))</f>
        <v/>
      </c>
      <c r="R73" s="17" t="str">
        <f>IF(OR(TEXT(R$13,"ddd")="Sun",R$13="",$D73=""),"",IF('Leave Planner'!P74="",1,0))</f>
        <v/>
      </c>
      <c r="S73" s="17" t="str">
        <f>IF(OR(TEXT(S$13,"ddd")="Sun",S$13="",$D73=""),"",IF('Leave Planner'!Q74="",1,0))</f>
        <v/>
      </c>
      <c r="T73" s="17" t="str">
        <f>IF(OR(TEXT(T$13,"ddd")="Sun",T$13="",$D73=""),"",IF('Leave Planner'!R74="",1,0))</f>
        <v/>
      </c>
      <c r="U73" s="17" t="str">
        <f>IF(OR(TEXT(U$13,"ddd")="Sun",U$13="",$D73=""),"",IF('Leave Planner'!S74="",1,0))</f>
        <v/>
      </c>
      <c r="V73" s="17" t="str">
        <f>IF(OR(TEXT(V$13,"ddd")="Sun",V$13="",$D73=""),"",IF('Leave Planner'!T74="",1,0))</f>
        <v/>
      </c>
      <c r="W73" s="17" t="str">
        <f>IF(OR(TEXT(W$13,"ddd")="Sun",W$13="",$D73=""),"",IF('Leave Planner'!U74="",1,0))</f>
        <v/>
      </c>
      <c r="X73" s="17" t="str">
        <f>IF(OR(TEXT(X$13,"ddd")="Sun",X$13="",$D73=""),"",IF('Leave Planner'!V74="",1,0))</f>
        <v/>
      </c>
      <c r="Y73" s="17" t="str">
        <f>IF(OR(TEXT(Y$13,"ddd")="Sun",Y$13="",$D73=""),"",IF('Leave Planner'!W74="",1,0))</f>
        <v/>
      </c>
      <c r="Z73" s="17" t="str">
        <f>IF(OR(TEXT(Z$13,"ddd")="Sun",Z$13="",$D73=""),"",IF('Leave Planner'!X74="",1,0))</f>
        <v/>
      </c>
      <c r="AA73" s="17" t="str">
        <f>IF(OR(TEXT(AA$13,"ddd")="Sun",AA$13="",$D73=""),"",IF('Leave Planner'!Y74="",1,0))</f>
        <v/>
      </c>
      <c r="AB73" s="17" t="str">
        <f>IF(OR(TEXT(AB$13,"ddd")="Sun",AB$13="",$D73=""),"",IF('Leave Planner'!Z74="",1,0))</f>
        <v/>
      </c>
      <c r="AC73" s="17" t="str">
        <f>IF(OR(TEXT(AC$13,"ddd")="Sun",AC$13="",$D73=""),"",IF('Leave Planner'!AA74="",1,0))</f>
        <v/>
      </c>
      <c r="AD73" s="17" t="str">
        <f>IF(OR(TEXT(AD$13,"ddd")="Sun",AD$13="",$D73=""),"",IF('Leave Planner'!AB74="",1,0))</f>
        <v/>
      </c>
      <c r="AE73" s="17" t="str">
        <f>IF(OR(TEXT(AE$13,"ddd")="Sun",AE$13="",$D73=""),"",IF('Leave Planner'!AC74="",1,0))</f>
        <v/>
      </c>
      <c r="AF73" s="17" t="str">
        <f>IF(OR(TEXT(AF$13,"ddd")="Sun",AF$13="",$D73=""),"",IF('Leave Planner'!AD74="",1,0))</f>
        <v/>
      </c>
      <c r="AG73" s="17" t="str">
        <f>IF(OR(TEXT(AG$13,"ddd")="Sun",AG$13="",$D73=""),"",IF('Leave Planner'!AE74="",1,0))</f>
        <v/>
      </c>
      <c r="AH73" s="17" t="str">
        <f>IF(OR(TEXT(AH$13,"ddd")="Sun",AH$13="",$D73=""),"",IF('Leave Planner'!AF74="",1,0))</f>
        <v/>
      </c>
      <c r="AI73" s="17" t="str">
        <f>IF(OR(TEXT(AI$13,"ddd")="Sun",AI$13="",$D73=""),"",IF('Leave Planner'!AG74="",1,0))</f>
        <v/>
      </c>
      <c r="AJ73" s="17" t="str">
        <f>IF(OR(TEXT(AJ$13,"ddd")="Sun",AJ$13="",$D73=""),"",IF('Leave Planner'!AH74="",1,0))</f>
        <v/>
      </c>
    </row>
    <row r="74" spans="2:36" x14ac:dyDescent="0.75">
      <c r="B74" s="15"/>
      <c r="C74" s="22"/>
      <c r="D74" s="22"/>
      <c r="E74" s="42" t="str">
        <f t="shared" si="5"/>
        <v/>
      </c>
      <c r="F74" s="17" t="str">
        <f>IF(OR(TEXT(F$13,"ddd")="Sun",F$13="",$D74=""),"",IF('Leave Planner'!D75="",1,0))</f>
        <v/>
      </c>
      <c r="G74" s="17" t="str">
        <f>IF(OR(TEXT(G$13,"ddd")="Sun",G$13="",$D74=""),"",IF('Leave Planner'!E75="",1,0))</f>
        <v/>
      </c>
      <c r="H74" s="17" t="str">
        <f>IF(OR(TEXT(H$13,"ddd")="Sun",H$13="",$D74=""),"",IF('Leave Planner'!F75="",1,0))</f>
        <v/>
      </c>
      <c r="I74" s="17" t="str">
        <f>IF(OR(TEXT(I$13,"ddd")="Sun",I$13="",$D74=""),"",IF('Leave Planner'!G75="",1,0))</f>
        <v/>
      </c>
      <c r="J74" s="17" t="str">
        <f>IF(OR(TEXT(J$13,"ddd")="Sun",J$13="",$D74=""),"",IF('Leave Planner'!H75="",1,0))</f>
        <v/>
      </c>
      <c r="K74" s="17" t="str">
        <f>IF(OR(TEXT(K$13,"ddd")="Sun",K$13="",$D74=""),"",IF('Leave Planner'!I75="",1,0))</f>
        <v/>
      </c>
      <c r="L74" s="17" t="str">
        <f>IF(OR(TEXT(L$13,"ddd")="Sun",L$13="",$D74=""),"",IF('Leave Planner'!J75="",1,0))</f>
        <v/>
      </c>
      <c r="M74" s="17" t="str">
        <f>IF(OR(TEXT(M$13,"ddd")="Sun",M$13="",$D74=""),"",IF('Leave Planner'!K75="",1,0))</f>
        <v/>
      </c>
      <c r="N74" s="17" t="str">
        <f>IF(OR(TEXT(N$13,"ddd")="Sun",N$13="",$D74=""),"",IF('Leave Planner'!L75="",1,0))</f>
        <v/>
      </c>
      <c r="O74" s="17" t="str">
        <f>IF(OR(TEXT(O$13,"ddd")="Sun",O$13="",$D74=""),"",IF('Leave Planner'!M75="",1,0))</f>
        <v/>
      </c>
      <c r="P74" s="17" t="str">
        <f>IF(OR(TEXT(P$13,"ddd")="Sun",P$13="",$D74=""),"",IF('Leave Planner'!N75="",1,0))</f>
        <v/>
      </c>
      <c r="Q74" s="17" t="str">
        <f>IF(OR(TEXT(Q$13,"ddd")="Sun",Q$13="",$D74=""),"",IF('Leave Planner'!O75="",1,0))</f>
        <v/>
      </c>
      <c r="R74" s="17" t="str">
        <f>IF(OR(TEXT(R$13,"ddd")="Sun",R$13="",$D74=""),"",IF('Leave Planner'!P75="",1,0))</f>
        <v/>
      </c>
      <c r="S74" s="17" t="str">
        <f>IF(OR(TEXT(S$13,"ddd")="Sun",S$13="",$D74=""),"",IF('Leave Planner'!Q75="",1,0))</f>
        <v/>
      </c>
      <c r="T74" s="17" t="str">
        <f>IF(OR(TEXT(T$13,"ddd")="Sun",T$13="",$D74=""),"",IF('Leave Planner'!R75="",1,0))</f>
        <v/>
      </c>
      <c r="U74" s="17" t="str">
        <f>IF(OR(TEXT(U$13,"ddd")="Sun",U$13="",$D74=""),"",IF('Leave Planner'!S75="",1,0))</f>
        <v/>
      </c>
      <c r="V74" s="17" t="str">
        <f>IF(OR(TEXT(V$13,"ddd")="Sun",V$13="",$D74=""),"",IF('Leave Planner'!T75="",1,0))</f>
        <v/>
      </c>
      <c r="W74" s="17" t="str">
        <f>IF(OR(TEXT(W$13,"ddd")="Sun",W$13="",$D74=""),"",IF('Leave Planner'!U75="",1,0))</f>
        <v/>
      </c>
      <c r="X74" s="17" t="str">
        <f>IF(OR(TEXT(X$13,"ddd")="Sun",X$13="",$D74=""),"",IF('Leave Planner'!V75="",1,0))</f>
        <v/>
      </c>
      <c r="Y74" s="17" t="str">
        <f>IF(OR(TEXT(Y$13,"ddd")="Sun",Y$13="",$D74=""),"",IF('Leave Planner'!W75="",1,0))</f>
        <v/>
      </c>
      <c r="Z74" s="17" t="str">
        <f>IF(OR(TEXT(Z$13,"ddd")="Sun",Z$13="",$D74=""),"",IF('Leave Planner'!X75="",1,0))</f>
        <v/>
      </c>
      <c r="AA74" s="17" t="str">
        <f>IF(OR(TEXT(AA$13,"ddd")="Sun",AA$13="",$D74=""),"",IF('Leave Planner'!Y75="",1,0))</f>
        <v/>
      </c>
      <c r="AB74" s="17" t="str">
        <f>IF(OR(TEXT(AB$13,"ddd")="Sun",AB$13="",$D74=""),"",IF('Leave Planner'!Z75="",1,0))</f>
        <v/>
      </c>
      <c r="AC74" s="17" t="str">
        <f>IF(OR(TEXT(AC$13,"ddd")="Sun",AC$13="",$D74=""),"",IF('Leave Planner'!AA75="",1,0))</f>
        <v/>
      </c>
      <c r="AD74" s="17" t="str">
        <f>IF(OR(TEXT(AD$13,"ddd")="Sun",AD$13="",$D74=""),"",IF('Leave Planner'!AB75="",1,0))</f>
        <v/>
      </c>
      <c r="AE74" s="17" t="str">
        <f>IF(OR(TEXT(AE$13,"ddd")="Sun",AE$13="",$D74=""),"",IF('Leave Planner'!AC75="",1,0))</f>
        <v/>
      </c>
      <c r="AF74" s="17" t="str">
        <f>IF(OR(TEXT(AF$13,"ddd")="Sun",AF$13="",$D74=""),"",IF('Leave Planner'!AD75="",1,0))</f>
        <v/>
      </c>
      <c r="AG74" s="17" t="str">
        <f>IF(OR(TEXT(AG$13,"ddd")="Sun",AG$13="",$D74=""),"",IF('Leave Planner'!AE75="",1,0))</f>
        <v/>
      </c>
      <c r="AH74" s="17" t="str">
        <f>IF(OR(TEXT(AH$13,"ddd")="Sun",AH$13="",$D74=""),"",IF('Leave Planner'!AF75="",1,0))</f>
        <v/>
      </c>
      <c r="AI74" s="17" t="str">
        <f>IF(OR(TEXT(AI$13,"ddd")="Sun",AI$13="",$D74=""),"",IF('Leave Planner'!AG75="",1,0))</f>
        <v/>
      </c>
      <c r="AJ74" s="17" t="str">
        <f>IF(OR(TEXT(AJ$13,"ddd")="Sun",AJ$13="",$D74=""),"",IF('Leave Planner'!AH75="",1,0))</f>
        <v/>
      </c>
    </row>
    <row r="75" spans="2:36" x14ac:dyDescent="0.75">
      <c r="B75" s="15"/>
      <c r="C75" s="22"/>
      <c r="D75" s="22"/>
      <c r="E75" s="42" t="str">
        <f t="shared" si="5"/>
        <v/>
      </c>
      <c r="F75" s="17" t="str">
        <f>IF(OR(TEXT(F$13,"ddd")="Sun",F$13="",$D75=""),"",IF('Leave Planner'!D76="",1,0))</f>
        <v/>
      </c>
      <c r="G75" s="17" t="str">
        <f>IF(OR(TEXT(G$13,"ddd")="Sun",G$13="",$D75=""),"",IF('Leave Planner'!E76="",1,0))</f>
        <v/>
      </c>
      <c r="H75" s="17" t="str">
        <f>IF(OR(TEXT(H$13,"ddd")="Sun",H$13="",$D75=""),"",IF('Leave Planner'!F76="",1,0))</f>
        <v/>
      </c>
      <c r="I75" s="17" t="str">
        <f>IF(OR(TEXT(I$13,"ddd")="Sun",I$13="",$D75=""),"",IF('Leave Planner'!G76="",1,0))</f>
        <v/>
      </c>
      <c r="J75" s="17" t="str">
        <f>IF(OR(TEXT(J$13,"ddd")="Sun",J$13="",$D75=""),"",IF('Leave Planner'!H76="",1,0))</f>
        <v/>
      </c>
      <c r="K75" s="17" t="str">
        <f>IF(OR(TEXT(K$13,"ddd")="Sun",K$13="",$D75=""),"",IF('Leave Planner'!I76="",1,0))</f>
        <v/>
      </c>
      <c r="L75" s="17" t="str">
        <f>IF(OR(TEXT(L$13,"ddd")="Sun",L$13="",$D75=""),"",IF('Leave Planner'!J76="",1,0))</f>
        <v/>
      </c>
      <c r="M75" s="17" t="str">
        <f>IF(OR(TEXT(M$13,"ddd")="Sun",M$13="",$D75=""),"",IF('Leave Planner'!K76="",1,0))</f>
        <v/>
      </c>
      <c r="N75" s="17" t="str">
        <f>IF(OR(TEXT(N$13,"ddd")="Sun",N$13="",$D75=""),"",IF('Leave Planner'!L76="",1,0))</f>
        <v/>
      </c>
      <c r="O75" s="17" t="str">
        <f>IF(OR(TEXT(O$13,"ddd")="Sun",O$13="",$D75=""),"",IF('Leave Planner'!M76="",1,0))</f>
        <v/>
      </c>
      <c r="P75" s="17" t="str">
        <f>IF(OR(TEXT(P$13,"ddd")="Sun",P$13="",$D75=""),"",IF('Leave Planner'!N76="",1,0))</f>
        <v/>
      </c>
      <c r="Q75" s="17" t="str">
        <f>IF(OR(TEXT(Q$13,"ddd")="Sun",Q$13="",$D75=""),"",IF('Leave Planner'!O76="",1,0))</f>
        <v/>
      </c>
      <c r="R75" s="17" t="str">
        <f>IF(OR(TEXT(R$13,"ddd")="Sun",R$13="",$D75=""),"",IF('Leave Planner'!P76="",1,0))</f>
        <v/>
      </c>
      <c r="S75" s="17" t="str">
        <f>IF(OR(TEXT(S$13,"ddd")="Sun",S$13="",$D75=""),"",IF('Leave Planner'!Q76="",1,0))</f>
        <v/>
      </c>
      <c r="T75" s="17" t="str">
        <f>IF(OR(TEXT(T$13,"ddd")="Sun",T$13="",$D75=""),"",IF('Leave Planner'!R76="",1,0))</f>
        <v/>
      </c>
      <c r="U75" s="17" t="str">
        <f>IF(OR(TEXT(U$13,"ddd")="Sun",U$13="",$D75=""),"",IF('Leave Planner'!S76="",1,0))</f>
        <v/>
      </c>
      <c r="V75" s="17" t="str">
        <f>IF(OR(TEXT(V$13,"ddd")="Sun",V$13="",$D75=""),"",IF('Leave Planner'!T76="",1,0))</f>
        <v/>
      </c>
      <c r="W75" s="17" t="str">
        <f>IF(OR(TEXT(W$13,"ddd")="Sun",W$13="",$D75=""),"",IF('Leave Planner'!U76="",1,0))</f>
        <v/>
      </c>
      <c r="X75" s="17" t="str">
        <f>IF(OR(TEXT(X$13,"ddd")="Sun",X$13="",$D75=""),"",IF('Leave Planner'!V76="",1,0))</f>
        <v/>
      </c>
      <c r="Y75" s="17" t="str">
        <f>IF(OR(TEXT(Y$13,"ddd")="Sun",Y$13="",$D75=""),"",IF('Leave Planner'!W76="",1,0))</f>
        <v/>
      </c>
      <c r="Z75" s="17" t="str">
        <f>IF(OR(TEXT(Z$13,"ddd")="Sun",Z$13="",$D75=""),"",IF('Leave Planner'!X76="",1,0))</f>
        <v/>
      </c>
      <c r="AA75" s="17" t="str">
        <f>IF(OR(TEXT(AA$13,"ddd")="Sun",AA$13="",$D75=""),"",IF('Leave Planner'!Y76="",1,0))</f>
        <v/>
      </c>
      <c r="AB75" s="17" t="str">
        <f>IF(OR(TEXT(AB$13,"ddd")="Sun",AB$13="",$D75=""),"",IF('Leave Planner'!Z76="",1,0))</f>
        <v/>
      </c>
      <c r="AC75" s="17" t="str">
        <f>IF(OR(TEXT(AC$13,"ddd")="Sun",AC$13="",$D75=""),"",IF('Leave Planner'!AA76="",1,0))</f>
        <v/>
      </c>
      <c r="AD75" s="17" t="str">
        <f>IF(OR(TEXT(AD$13,"ddd")="Sun",AD$13="",$D75=""),"",IF('Leave Planner'!AB76="",1,0))</f>
        <v/>
      </c>
      <c r="AE75" s="17" t="str">
        <f>IF(OR(TEXT(AE$13,"ddd")="Sun",AE$13="",$D75=""),"",IF('Leave Planner'!AC76="",1,0))</f>
        <v/>
      </c>
      <c r="AF75" s="17" t="str">
        <f>IF(OR(TEXT(AF$13,"ddd")="Sun",AF$13="",$D75=""),"",IF('Leave Planner'!AD76="",1,0))</f>
        <v/>
      </c>
      <c r="AG75" s="17" t="str">
        <f>IF(OR(TEXT(AG$13,"ddd")="Sun",AG$13="",$D75=""),"",IF('Leave Planner'!AE76="",1,0))</f>
        <v/>
      </c>
      <c r="AH75" s="17" t="str">
        <f>IF(OR(TEXT(AH$13,"ddd")="Sun",AH$13="",$D75=""),"",IF('Leave Planner'!AF76="",1,0))</f>
        <v/>
      </c>
      <c r="AI75" s="17" t="str">
        <f>IF(OR(TEXT(AI$13,"ddd")="Sun",AI$13="",$D75=""),"",IF('Leave Planner'!AG76="",1,0))</f>
        <v/>
      </c>
      <c r="AJ75" s="17" t="str">
        <f>IF(OR(TEXT(AJ$13,"ddd")="Sun",AJ$13="",$D75=""),"",IF('Leave Planner'!AH76="",1,0))</f>
        <v/>
      </c>
    </row>
    <row r="76" spans="2:36" x14ac:dyDescent="0.75">
      <c r="B76" s="15"/>
      <c r="C76" s="22"/>
      <c r="D76" s="22"/>
      <c r="E76" s="42" t="str">
        <f t="shared" si="5"/>
        <v/>
      </c>
      <c r="F76" s="17" t="str">
        <f>IF(OR(TEXT(F$13,"ddd")="Sun",F$13="",$D76=""),"",IF('Leave Planner'!D77="",1,0))</f>
        <v/>
      </c>
      <c r="G76" s="17" t="str">
        <f>IF(OR(TEXT(G$13,"ddd")="Sun",G$13="",$D76=""),"",IF('Leave Planner'!E77="",1,0))</f>
        <v/>
      </c>
      <c r="H76" s="17" t="str">
        <f>IF(OR(TEXT(H$13,"ddd")="Sun",H$13="",$D76=""),"",IF('Leave Planner'!F77="",1,0))</f>
        <v/>
      </c>
      <c r="I76" s="17" t="str">
        <f>IF(OR(TEXT(I$13,"ddd")="Sun",I$13="",$D76=""),"",IF('Leave Planner'!G77="",1,0))</f>
        <v/>
      </c>
      <c r="J76" s="17" t="str">
        <f>IF(OR(TEXT(J$13,"ddd")="Sun",J$13="",$D76=""),"",IF('Leave Planner'!H77="",1,0))</f>
        <v/>
      </c>
      <c r="K76" s="17" t="str">
        <f>IF(OR(TEXT(K$13,"ddd")="Sun",K$13="",$D76=""),"",IF('Leave Planner'!I77="",1,0))</f>
        <v/>
      </c>
      <c r="L76" s="17" t="str">
        <f>IF(OR(TEXT(L$13,"ddd")="Sun",L$13="",$D76=""),"",IF('Leave Planner'!J77="",1,0))</f>
        <v/>
      </c>
      <c r="M76" s="17" t="str">
        <f>IF(OR(TEXT(M$13,"ddd")="Sun",M$13="",$D76=""),"",IF('Leave Planner'!K77="",1,0))</f>
        <v/>
      </c>
      <c r="N76" s="17" t="str">
        <f>IF(OR(TEXT(N$13,"ddd")="Sun",N$13="",$D76=""),"",IF('Leave Planner'!L77="",1,0))</f>
        <v/>
      </c>
      <c r="O76" s="17" t="str">
        <f>IF(OR(TEXT(O$13,"ddd")="Sun",O$13="",$D76=""),"",IF('Leave Planner'!M77="",1,0))</f>
        <v/>
      </c>
      <c r="P76" s="17" t="str">
        <f>IF(OR(TEXT(P$13,"ddd")="Sun",P$13="",$D76=""),"",IF('Leave Planner'!N77="",1,0))</f>
        <v/>
      </c>
      <c r="Q76" s="17" t="str">
        <f>IF(OR(TEXT(Q$13,"ddd")="Sun",Q$13="",$D76=""),"",IF('Leave Planner'!O77="",1,0))</f>
        <v/>
      </c>
      <c r="R76" s="17" t="str">
        <f>IF(OR(TEXT(R$13,"ddd")="Sun",R$13="",$D76=""),"",IF('Leave Planner'!P77="",1,0))</f>
        <v/>
      </c>
      <c r="S76" s="17" t="str">
        <f>IF(OR(TEXT(S$13,"ddd")="Sun",S$13="",$D76=""),"",IF('Leave Planner'!Q77="",1,0))</f>
        <v/>
      </c>
      <c r="T76" s="17" t="str">
        <f>IF(OR(TEXT(T$13,"ddd")="Sun",T$13="",$D76=""),"",IF('Leave Planner'!R77="",1,0))</f>
        <v/>
      </c>
      <c r="U76" s="17" t="str">
        <f>IF(OR(TEXT(U$13,"ddd")="Sun",U$13="",$D76=""),"",IF('Leave Planner'!S77="",1,0))</f>
        <v/>
      </c>
      <c r="V76" s="17" t="str">
        <f>IF(OR(TEXT(V$13,"ddd")="Sun",V$13="",$D76=""),"",IF('Leave Planner'!T77="",1,0))</f>
        <v/>
      </c>
      <c r="W76" s="17" t="str">
        <f>IF(OR(TEXT(W$13,"ddd")="Sun",W$13="",$D76=""),"",IF('Leave Planner'!U77="",1,0))</f>
        <v/>
      </c>
      <c r="X76" s="17" t="str">
        <f>IF(OR(TEXT(X$13,"ddd")="Sun",X$13="",$D76=""),"",IF('Leave Planner'!V77="",1,0))</f>
        <v/>
      </c>
      <c r="Y76" s="17" t="str">
        <f>IF(OR(TEXT(Y$13,"ddd")="Sun",Y$13="",$D76=""),"",IF('Leave Planner'!W77="",1,0))</f>
        <v/>
      </c>
      <c r="Z76" s="17" t="str">
        <f>IF(OR(TEXT(Z$13,"ddd")="Sun",Z$13="",$D76=""),"",IF('Leave Planner'!X77="",1,0))</f>
        <v/>
      </c>
      <c r="AA76" s="17" t="str">
        <f>IF(OR(TEXT(AA$13,"ddd")="Sun",AA$13="",$D76=""),"",IF('Leave Planner'!Y77="",1,0))</f>
        <v/>
      </c>
      <c r="AB76" s="17" t="str">
        <f>IF(OR(TEXT(AB$13,"ddd")="Sun",AB$13="",$D76=""),"",IF('Leave Planner'!Z77="",1,0))</f>
        <v/>
      </c>
      <c r="AC76" s="17" t="str">
        <f>IF(OR(TEXT(AC$13,"ddd")="Sun",AC$13="",$D76=""),"",IF('Leave Planner'!AA77="",1,0))</f>
        <v/>
      </c>
      <c r="AD76" s="17" t="str">
        <f>IF(OR(TEXT(AD$13,"ddd")="Sun",AD$13="",$D76=""),"",IF('Leave Planner'!AB77="",1,0))</f>
        <v/>
      </c>
      <c r="AE76" s="17" t="str">
        <f>IF(OR(TEXT(AE$13,"ddd")="Sun",AE$13="",$D76=""),"",IF('Leave Planner'!AC77="",1,0))</f>
        <v/>
      </c>
      <c r="AF76" s="17" t="str">
        <f>IF(OR(TEXT(AF$13,"ddd")="Sun",AF$13="",$D76=""),"",IF('Leave Planner'!AD77="",1,0))</f>
        <v/>
      </c>
      <c r="AG76" s="17" t="str">
        <f>IF(OR(TEXT(AG$13,"ddd")="Sun",AG$13="",$D76=""),"",IF('Leave Planner'!AE77="",1,0))</f>
        <v/>
      </c>
      <c r="AH76" s="17" t="str">
        <f>IF(OR(TEXT(AH$13,"ddd")="Sun",AH$13="",$D76=""),"",IF('Leave Planner'!AF77="",1,0))</f>
        <v/>
      </c>
      <c r="AI76" s="17" t="str">
        <f>IF(OR(TEXT(AI$13,"ddd")="Sun",AI$13="",$D76=""),"",IF('Leave Planner'!AG77="",1,0))</f>
        <v/>
      </c>
      <c r="AJ76" s="17" t="str">
        <f>IF(OR(TEXT(AJ$13,"ddd")="Sun",AJ$13="",$D76=""),"",IF('Leave Planner'!AH77="",1,0))</f>
        <v/>
      </c>
    </row>
    <row r="77" spans="2:36" x14ac:dyDescent="0.75">
      <c r="B77" s="15"/>
      <c r="C77" s="22"/>
      <c r="D77" s="22"/>
      <c r="E77" s="42" t="str">
        <f t="shared" si="5"/>
        <v/>
      </c>
      <c r="F77" s="17" t="str">
        <f>IF(OR(TEXT(F$13,"ddd")="Sun",F$13="",$D77=""),"",IF('Leave Planner'!D78="",1,0))</f>
        <v/>
      </c>
      <c r="G77" s="17" t="str">
        <f>IF(OR(TEXT(G$13,"ddd")="Sun",G$13="",$D77=""),"",IF('Leave Planner'!E78="",1,0))</f>
        <v/>
      </c>
      <c r="H77" s="17" t="str">
        <f>IF(OR(TEXT(H$13,"ddd")="Sun",H$13="",$D77=""),"",IF('Leave Planner'!F78="",1,0))</f>
        <v/>
      </c>
      <c r="I77" s="17" t="str">
        <f>IF(OR(TEXT(I$13,"ddd")="Sun",I$13="",$D77=""),"",IF('Leave Planner'!G78="",1,0))</f>
        <v/>
      </c>
      <c r="J77" s="17" t="str">
        <f>IF(OR(TEXT(J$13,"ddd")="Sun",J$13="",$D77=""),"",IF('Leave Planner'!H78="",1,0))</f>
        <v/>
      </c>
      <c r="K77" s="17" t="str">
        <f>IF(OR(TEXT(K$13,"ddd")="Sun",K$13="",$D77=""),"",IF('Leave Planner'!I78="",1,0))</f>
        <v/>
      </c>
      <c r="L77" s="17" t="str">
        <f>IF(OR(TEXT(L$13,"ddd")="Sun",L$13="",$D77=""),"",IF('Leave Planner'!J78="",1,0))</f>
        <v/>
      </c>
      <c r="M77" s="17" t="str">
        <f>IF(OR(TEXT(M$13,"ddd")="Sun",M$13="",$D77=""),"",IF('Leave Planner'!K78="",1,0))</f>
        <v/>
      </c>
      <c r="N77" s="17" t="str">
        <f>IF(OR(TEXT(N$13,"ddd")="Sun",N$13="",$D77=""),"",IF('Leave Planner'!L78="",1,0))</f>
        <v/>
      </c>
      <c r="O77" s="17" t="str">
        <f>IF(OR(TEXT(O$13,"ddd")="Sun",O$13="",$D77=""),"",IF('Leave Planner'!M78="",1,0))</f>
        <v/>
      </c>
      <c r="P77" s="17" t="str">
        <f>IF(OR(TEXT(P$13,"ddd")="Sun",P$13="",$D77=""),"",IF('Leave Planner'!N78="",1,0))</f>
        <v/>
      </c>
      <c r="Q77" s="17" t="str">
        <f>IF(OR(TEXT(Q$13,"ddd")="Sun",Q$13="",$D77=""),"",IF('Leave Planner'!O78="",1,0))</f>
        <v/>
      </c>
      <c r="R77" s="17" t="str">
        <f>IF(OR(TEXT(R$13,"ddd")="Sun",R$13="",$D77=""),"",IF('Leave Planner'!P78="",1,0))</f>
        <v/>
      </c>
      <c r="S77" s="17" t="str">
        <f>IF(OR(TEXT(S$13,"ddd")="Sun",S$13="",$D77=""),"",IF('Leave Planner'!Q78="",1,0))</f>
        <v/>
      </c>
      <c r="T77" s="17" t="str">
        <f>IF(OR(TEXT(T$13,"ddd")="Sun",T$13="",$D77=""),"",IF('Leave Planner'!R78="",1,0))</f>
        <v/>
      </c>
      <c r="U77" s="17" t="str">
        <f>IF(OR(TEXT(U$13,"ddd")="Sun",U$13="",$D77=""),"",IF('Leave Planner'!S78="",1,0))</f>
        <v/>
      </c>
      <c r="V77" s="17" t="str">
        <f>IF(OR(TEXT(V$13,"ddd")="Sun",V$13="",$D77=""),"",IF('Leave Planner'!T78="",1,0))</f>
        <v/>
      </c>
      <c r="W77" s="17" t="str">
        <f>IF(OR(TEXT(W$13,"ddd")="Sun",W$13="",$D77=""),"",IF('Leave Planner'!U78="",1,0))</f>
        <v/>
      </c>
      <c r="X77" s="17" t="str">
        <f>IF(OR(TEXT(X$13,"ddd")="Sun",X$13="",$D77=""),"",IF('Leave Planner'!V78="",1,0))</f>
        <v/>
      </c>
      <c r="Y77" s="17" t="str">
        <f>IF(OR(TEXT(Y$13,"ddd")="Sun",Y$13="",$D77=""),"",IF('Leave Planner'!W78="",1,0))</f>
        <v/>
      </c>
      <c r="Z77" s="17" t="str">
        <f>IF(OR(TEXT(Z$13,"ddd")="Sun",Z$13="",$D77=""),"",IF('Leave Planner'!X78="",1,0))</f>
        <v/>
      </c>
      <c r="AA77" s="17" t="str">
        <f>IF(OR(TEXT(AA$13,"ddd")="Sun",AA$13="",$D77=""),"",IF('Leave Planner'!Y78="",1,0))</f>
        <v/>
      </c>
      <c r="AB77" s="17" t="str">
        <f>IF(OR(TEXT(AB$13,"ddd")="Sun",AB$13="",$D77=""),"",IF('Leave Planner'!Z78="",1,0))</f>
        <v/>
      </c>
      <c r="AC77" s="17" t="str">
        <f>IF(OR(TEXT(AC$13,"ddd")="Sun",AC$13="",$D77=""),"",IF('Leave Planner'!AA78="",1,0))</f>
        <v/>
      </c>
      <c r="AD77" s="17" t="str">
        <f>IF(OR(TEXT(AD$13,"ddd")="Sun",AD$13="",$D77=""),"",IF('Leave Planner'!AB78="",1,0))</f>
        <v/>
      </c>
      <c r="AE77" s="17" t="str">
        <f>IF(OR(TEXT(AE$13,"ddd")="Sun",AE$13="",$D77=""),"",IF('Leave Planner'!AC78="",1,0))</f>
        <v/>
      </c>
      <c r="AF77" s="17" t="str">
        <f>IF(OR(TEXT(AF$13,"ddd")="Sun",AF$13="",$D77=""),"",IF('Leave Planner'!AD78="",1,0))</f>
        <v/>
      </c>
      <c r="AG77" s="17" t="str">
        <f>IF(OR(TEXT(AG$13,"ddd")="Sun",AG$13="",$D77=""),"",IF('Leave Planner'!AE78="",1,0))</f>
        <v/>
      </c>
      <c r="AH77" s="17" t="str">
        <f>IF(OR(TEXT(AH$13,"ddd")="Sun",AH$13="",$D77=""),"",IF('Leave Planner'!AF78="",1,0))</f>
        <v/>
      </c>
      <c r="AI77" s="17" t="str">
        <f>IF(OR(TEXT(AI$13,"ddd")="Sun",AI$13="",$D77=""),"",IF('Leave Planner'!AG78="",1,0))</f>
        <v/>
      </c>
      <c r="AJ77" s="17" t="str">
        <f>IF(OR(TEXT(AJ$13,"ddd")="Sun",AJ$13="",$D77=""),"",IF('Leave Planner'!AH78="",1,0))</f>
        <v/>
      </c>
    </row>
    <row r="78" spans="2:36" x14ac:dyDescent="0.75">
      <c r="B78" s="15"/>
      <c r="C78" s="22"/>
      <c r="D78" s="22"/>
      <c r="E78" s="42" t="str">
        <f t="shared" si="5"/>
        <v/>
      </c>
      <c r="F78" s="17" t="str">
        <f>IF(OR(TEXT(F$13,"ddd")="Sun",F$13="",$D78=""),"",IF('Leave Planner'!D79="",1,0))</f>
        <v/>
      </c>
      <c r="G78" s="17" t="str">
        <f>IF(OR(TEXT(G$13,"ddd")="Sun",G$13="",$D78=""),"",IF('Leave Planner'!E79="",1,0))</f>
        <v/>
      </c>
      <c r="H78" s="17" t="str">
        <f>IF(OR(TEXT(H$13,"ddd")="Sun",H$13="",$D78=""),"",IF('Leave Planner'!F79="",1,0))</f>
        <v/>
      </c>
      <c r="I78" s="17" t="str">
        <f>IF(OR(TEXT(I$13,"ddd")="Sun",I$13="",$D78=""),"",IF('Leave Planner'!G79="",1,0))</f>
        <v/>
      </c>
      <c r="J78" s="17" t="str">
        <f>IF(OR(TEXT(J$13,"ddd")="Sun",J$13="",$D78=""),"",IF('Leave Planner'!H79="",1,0))</f>
        <v/>
      </c>
      <c r="K78" s="17" t="str">
        <f>IF(OR(TEXT(K$13,"ddd")="Sun",K$13="",$D78=""),"",IF('Leave Planner'!I79="",1,0))</f>
        <v/>
      </c>
      <c r="L78" s="17" t="str">
        <f>IF(OR(TEXT(L$13,"ddd")="Sun",L$13="",$D78=""),"",IF('Leave Planner'!J79="",1,0))</f>
        <v/>
      </c>
      <c r="M78" s="17" t="str">
        <f>IF(OR(TEXT(M$13,"ddd")="Sun",M$13="",$D78=""),"",IF('Leave Planner'!K79="",1,0))</f>
        <v/>
      </c>
      <c r="N78" s="17" t="str">
        <f>IF(OR(TEXT(N$13,"ddd")="Sun",N$13="",$D78=""),"",IF('Leave Planner'!L79="",1,0))</f>
        <v/>
      </c>
      <c r="O78" s="17" t="str">
        <f>IF(OR(TEXT(O$13,"ddd")="Sun",O$13="",$D78=""),"",IF('Leave Planner'!M79="",1,0))</f>
        <v/>
      </c>
      <c r="P78" s="17" t="str">
        <f>IF(OR(TEXT(P$13,"ddd")="Sun",P$13="",$D78=""),"",IF('Leave Planner'!N79="",1,0))</f>
        <v/>
      </c>
      <c r="Q78" s="17" t="str">
        <f>IF(OR(TEXT(Q$13,"ddd")="Sun",Q$13="",$D78=""),"",IF('Leave Planner'!O79="",1,0))</f>
        <v/>
      </c>
      <c r="R78" s="17" t="str">
        <f>IF(OR(TEXT(R$13,"ddd")="Sun",R$13="",$D78=""),"",IF('Leave Planner'!P79="",1,0))</f>
        <v/>
      </c>
      <c r="S78" s="17" t="str">
        <f>IF(OR(TEXT(S$13,"ddd")="Sun",S$13="",$D78=""),"",IF('Leave Planner'!Q79="",1,0))</f>
        <v/>
      </c>
      <c r="T78" s="17" t="str">
        <f>IF(OR(TEXT(T$13,"ddd")="Sun",T$13="",$D78=""),"",IF('Leave Planner'!R79="",1,0))</f>
        <v/>
      </c>
      <c r="U78" s="17" t="str">
        <f>IF(OR(TEXT(U$13,"ddd")="Sun",U$13="",$D78=""),"",IF('Leave Planner'!S79="",1,0))</f>
        <v/>
      </c>
      <c r="V78" s="17" t="str">
        <f>IF(OR(TEXT(V$13,"ddd")="Sun",V$13="",$D78=""),"",IF('Leave Planner'!T79="",1,0))</f>
        <v/>
      </c>
      <c r="W78" s="17" t="str">
        <f>IF(OR(TEXT(W$13,"ddd")="Sun",W$13="",$D78=""),"",IF('Leave Planner'!U79="",1,0))</f>
        <v/>
      </c>
      <c r="X78" s="17" t="str">
        <f>IF(OR(TEXT(X$13,"ddd")="Sun",X$13="",$D78=""),"",IF('Leave Planner'!V79="",1,0))</f>
        <v/>
      </c>
      <c r="Y78" s="17" t="str">
        <f>IF(OR(TEXT(Y$13,"ddd")="Sun",Y$13="",$D78=""),"",IF('Leave Planner'!W79="",1,0))</f>
        <v/>
      </c>
      <c r="Z78" s="17" t="str">
        <f>IF(OR(TEXT(Z$13,"ddd")="Sun",Z$13="",$D78=""),"",IF('Leave Planner'!X79="",1,0))</f>
        <v/>
      </c>
      <c r="AA78" s="17" t="str">
        <f>IF(OR(TEXT(AA$13,"ddd")="Sun",AA$13="",$D78=""),"",IF('Leave Planner'!Y79="",1,0))</f>
        <v/>
      </c>
      <c r="AB78" s="17" t="str">
        <f>IF(OR(TEXT(AB$13,"ddd")="Sun",AB$13="",$D78=""),"",IF('Leave Planner'!Z79="",1,0))</f>
        <v/>
      </c>
      <c r="AC78" s="17" t="str">
        <f>IF(OR(TEXT(AC$13,"ddd")="Sun",AC$13="",$D78=""),"",IF('Leave Planner'!AA79="",1,0))</f>
        <v/>
      </c>
      <c r="AD78" s="17" t="str">
        <f>IF(OR(TEXT(AD$13,"ddd")="Sun",AD$13="",$D78=""),"",IF('Leave Planner'!AB79="",1,0))</f>
        <v/>
      </c>
      <c r="AE78" s="17" t="str">
        <f>IF(OR(TEXT(AE$13,"ddd")="Sun",AE$13="",$D78=""),"",IF('Leave Planner'!AC79="",1,0))</f>
        <v/>
      </c>
      <c r="AF78" s="17" t="str">
        <f>IF(OR(TEXT(AF$13,"ddd")="Sun",AF$13="",$D78=""),"",IF('Leave Planner'!AD79="",1,0))</f>
        <v/>
      </c>
      <c r="AG78" s="17" t="str">
        <f>IF(OR(TEXT(AG$13,"ddd")="Sun",AG$13="",$D78=""),"",IF('Leave Planner'!AE79="",1,0))</f>
        <v/>
      </c>
      <c r="AH78" s="17" t="str">
        <f>IF(OR(TEXT(AH$13,"ddd")="Sun",AH$13="",$D78=""),"",IF('Leave Planner'!AF79="",1,0))</f>
        <v/>
      </c>
      <c r="AI78" s="17" t="str">
        <f>IF(OR(TEXT(AI$13,"ddd")="Sun",AI$13="",$D78=""),"",IF('Leave Planner'!AG79="",1,0))</f>
        <v/>
      </c>
      <c r="AJ78" s="17" t="str">
        <f>IF(OR(TEXT(AJ$13,"ddd")="Sun",AJ$13="",$D78=""),"",IF('Leave Planner'!AH79="",1,0))</f>
        <v/>
      </c>
    </row>
    <row r="79" spans="2:36" x14ac:dyDescent="0.75">
      <c r="B79" s="15"/>
      <c r="C79" s="22"/>
      <c r="D79" s="22"/>
      <c r="E79" s="42" t="str">
        <f t="shared" ref="E79:E142" si="6">IF(D79="","",COUNTIF(F79:AJ79,1))</f>
        <v/>
      </c>
      <c r="F79" s="17" t="str">
        <f>IF(OR(TEXT(F$13,"ddd")="Sun",F$13="",$D79=""),"",IF('Leave Planner'!D80="",1,0))</f>
        <v/>
      </c>
      <c r="G79" s="17" t="str">
        <f>IF(OR(TEXT(G$13,"ddd")="Sun",G$13="",$D79=""),"",IF('Leave Planner'!E80="",1,0))</f>
        <v/>
      </c>
      <c r="H79" s="17" t="str">
        <f>IF(OR(TEXT(H$13,"ddd")="Sun",H$13="",$D79=""),"",IF('Leave Planner'!F80="",1,0))</f>
        <v/>
      </c>
      <c r="I79" s="17" t="str">
        <f>IF(OR(TEXT(I$13,"ddd")="Sun",I$13="",$D79=""),"",IF('Leave Planner'!G80="",1,0))</f>
        <v/>
      </c>
      <c r="J79" s="17" t="str">
        <f>IF(OR(TEXT(J$13,"ddd")="Sun",J$13="",$D79=""),"",IF('Leave Planner'!H80="",1,0))</f>
        <v/>
      </c>
      <c r="K79" s="17" t="str">
        <f>IF(OR(TEXT(K$13,"ddd")="Sun",K$13="",$D79=""),"",IF('Leave Planner'!I80="",1,0))</f>
        <v/>
      </c>
      <c r="L79" s="17" t="str">
        <f>IF(OR(TEXT(L$13,"ddd")="Sun",L$13="",$D79=""),"",IF('Leave Planner'!J80="",1,0))</f>
        <v/>
      </c>
      <c r="M79" s="17" t="str">
        <f>IF(OR(TEXT(M$13,"ddd")="Sun",M$13="",$D79=""),"",IF('Leave Planner'!K80="",1,0))</f>
        <v/>
      </c>
      <c r="N79" s="17" t="str">
        <f>IF(OR(TEXT(N$13,"ddd")="Sun",N$13="",$D79=""),"",IF('Leave Planner'!L80="",1,0))</f>
        <v/>
      </c>
      <c r="O79" s="17" t="str">
        <f>IF(OR(TEXT(O$13,"ddd")="Sun",O$13="",$D79=""),"",IF('Leave Planner'!M80="",1,0))</f>
        <v/>
      </c>
      <c r="P79" s="17" t="str">
        <f>IF(OR(TEXT(P$13,"ddd")="Sun",P$13="",$D79=""),"",IF('Leave Planner'!N80="",1,0))</f>
        <v/>
      </c>
      <c r="Q79" s="17" t="str">
        <f>IF(OR(TEXT(Q$13,"ddd")="Sun",Q$13="",$D79=""),"",IF('Leave Planner'!O80="",1,0))</f>
        <v/>
      </c>
      <c r="R79" s="17" t="str">
        <f>IF(OR(TEXT(R$13,"ddd")="Sun",R$13="",$D79=""),"",IF('Leave Planner'!P80="",1,0))</f>
        <v/>
      </c>
      <c r="S79" s="17" t="str">
        <f>IF(OR(TEXT(S$13,"ddd")="Sun",S$13="",$D79=""),"",IF('Leave Planner'!Q80="",1,0))</f>
        <v/>
      </c>
      <c r="T79" s="17" t="str">
        <f>IF(OR(TEXT(T$13,"ddd")="Sun",T$13="",$D79=""),"",IF('Leave Planner'!R80="",1,0))</f>
        <v/>
      </c>
      <c r="U79" s="17" t="str">
        <f>IF(OR(TEXT(U$13,"ddd")="Sun",U$13="",$D79=""),"",IF('Leave Planner'!S80="",1,0))</f>
        <v/>
      </c>
      <c r="V79" s="17" t="str">
        <f>IF(OR(TEXT(V$13,"ddd")="Sun",V$13="",$D79=""),"",IF('Leave Planner'!T80="",1,0))</f>
        <v/>
      </c>
      <c r="W79" s="17" t="str">
        <f>IF(OR(TEXT(W$13,"ddd")="Sun",W$13="",$D79=""),"",IF('Leave Planner'!U80="",1,0))</f>
        <v/>
      </c>
      <c r="X79" s="17" t="str">
        <f>IF(OR(TEXT(X$13,"ddd")="Sun",X$13="",$D79=""),"",IF('Leave Planner'!V80="",1,0))</f>
        <v/>
      </c>
      <c r="Y79" s="17" t="str">
        <f>IF(OR(TEXT(Y$13,"ddd")="Sun",Y$13="",$D79=""),"",IF('Leave Planner'!W80="",1,0))</f>
        <v/>
      </c>
      <c r="Z79" s="17" t="str">
        <f>IF(OR(TEXT(Z$13,"ddd")="Sun",Z$13="",$D79=""),"",IF('Leave Planner'!X80="",1,0))</f>
        <v/>
      </c>
      <c r="AA79" s="17" t="str">
        <f>IF(OR(TEXT(AA$13,"ddd")="Sun",AA$13="",$D79=""),"",IF('Leave Planner'!Y80="",1,0))</f>
        <v/>
      </c>
      <c r="AB79" s="17" t="str">
        <f>IF(OR(TEXT(AB$13,"ddd")="Sun",AB$13="",$D79=""),"",IF('Leave Planner'!Z80="",1,0))</f>
        <v/>
      </c>
      <c r="AC79" s="17" t="str">
        <f>IF(OR(TEXT(AC$13,"ddd")="Sun",AC$13="",$D79=""),"",IF('Leave Planner'!AA80="",1,0))</f>
        <v/>
      </c>
      <c r="AD79" s="17" t="str">
        <f>IF(OR(TEXT(AD$13,"ddd")="Sun",AD$13="",$D79=""),"",IF('Leave Planner'!AB80="",1,0))</f>
        <v/>
      </c>
      <c r="AE79" s="17" t="str">
        <f>IF(OR(TEXT(AE$13,"ddd")="Sun",AE$13="",$D79=""),"",IF('Leave Planner'!AC80="",1,0))</f>
        <v/>
      </c>
      <c r="AF79" s="17" t="str">
        <f>IF(OR(TEXT(AF$13,"ddd")="Sun",AF$13="",$D79=""),"",IF('Leave Planner'!AD80="",1,0))</f>
        <v/>
      </c>
      <c r="AG79" s="17" t="str">
        <f>IF(OR(TEXT(AG$13,"ddd")="Sun",AG$13="",$D79=""),"",IF('Leave Planner'!AE80="",1,0))</f>
        <v/>
      </c>
      <c r="AH79" s="17" t="str">
        <f>IF(OR(TEXT(AH$13,"ddd")="Sun",AH$13="",$D79=""),"",IF('Leave Planner'!AF80="",1,0))</f>
        <v/>
      </c>
      <c r="AI79" s="17" t="str">
        <f>IF(OR(TEXT(AI$13,"ddd")="Sun",AI$13="",$D79=""),"",IF('Leave Planner'!AG80="",1,0))</f>
        <v/>
      </c>
      <c r="AJ79" s="17" t="str">
        <f>IF(OR(TEXT(AJ$13,"ddd")="Sun",AJ$13="",$D79=""),"",IF('Leave Planner'!AH80="",1,0))</f>
        <v/>
      </c>
    </row>
    <row r="80" spans="2:36" x14ac:dyDescent="0.75">
      <c r="B80" s="15"/>
      <c r="C80" s="22"/>
      <c r="D80" s="22"/>
      <c r="E80" s="42" t="str">
        <f t="shared" si="6"/>
        <v/>
      </c>
      <c r="F80" s="17" t="str">
        <f>IF(OR(TEXT(F$13,"ddd")="Sun",F$13="",$D80=""),"",IF('Leave Planner'!D81="",1,0))</f>
        <v/>
      </c>
      <c r="G80" s="17" t="str">
        <f>IF(OR(TEXT(G$13,"ddd")="Sun",G$13="",$D80=""),"",IF('Leave Planner'!E81="",1,0))</f>
        <v/>
      </c>
      <c r="H80" s="17" t="str">
        <f>IF(OR(TEXT(H$13,"ddd")="Sun",H$13="",$D80=""),"",IF('Leave Planner'!F81="",1,0))</f>
        <v/>
      </c>
      <c r="I80" s="17" t="str">
        <f>IF(OR(TEXT(I$13,"ddd")="Sun",I$13="",$D80=""),"",IF('Leave Planner'!G81="",1,0))</f>
        <v/>
      </c>
      <c r="J80" s="17" t="str">
        <f>IF(OR(TEXT(J$13,"ddd")="Sun",J$13="",$D80=""),"",IF('Leave Planner'!H81="",1,0))</f>
        <v/>
      </c>
      <c r="K80" s="17" t="str">
        <f>IF(OR(TEXT(K$13,"ddd")="Sun",K$13="",$D80=""),"",IF('Leave Planner'!I81="",1,0))</f>
        <v/>
      </c>
      <c r="L80" s="17" t="str">
        <f>IF(OR(TEXT(L$13,"ddd")="Sun",L$13="",$D80=""),"",IF('Leave Planner'!J81="",1,0))</f>
        <v/>
      </c>
      <c r="M80" s="17" t="str">
        <f>IF(OR(TEXT(M$13,"ddd")="Sun",M$13="",$D80=""),"",IF('Leave Planner'!K81="",1,0))</f>
        <v/>
      </c>
      <c r="N80" s="17" t="str">
        <f>IF(OR(TEXT(N$13,"ddd")="Sun",N$13="",$D80=""),"",IF('Leave Planner'!L81="",1,0))</f>
        <v/>
      </c>
      <c r="O80" s="17" t="str">
        <f>IF(OR(TEXT(O$13,"ddd")="Sun",O$13="",$D80=""),"",IF('Leave Planner'!M81="",1,0))</f>
        <v/>
      </c>
      <c r="P80" s="17" t="str">
        <f>IF(OR(TEXT(P$13,"ddd")="Sun",P$13="",$D80=""),"",IF('Leave Planner'!N81="",1,0))</f>
        <v/>
      </c>
      <c r="Q80" s="17" t="str">
        <f>IF(OR(TEXT(Q$13,"ddd")="Sun",Q$13="",$D80=""),"",IF('Leave Planner'!O81="",1,0))</f>
        <v/>
      </c>
      <c r="R80" s="17" t="str">
        <f>IF(OR(TEXT(R$13,"ddd")="Sun",R$13="",$D80=""),"",IF('Leave Planner'!P81="",1,0))</f>
        <v/>
      </c>
      <c r="S80" s="17" t="str">
        <f>IF(OR(TEXT(S$13,"ddd")="Sun",S$13="",$D80=""),"",IF('Leave Planner'!Q81="",1,0))</f>
        <v/>
      </c>
      <c r="T80" s="17" t="str">
        <f>IF(OR(TEXT(T$13,"ddd")="Sun",T$13="",$D80=""),"",IF('Leave Planner'!R81="",1,0))</f>
        <v/>
      </c>
      <c r="U80" s="17" t="str">
        <f>IF(OR(TEXT(U$13,"ddd")="Sun",U$13="",$D80=""),"",IF('Leave Planner'!S81="",1,0))</f>
        <v/>
      </c>
      <c r="V80" s="17" t="str">
        <f>IF(OR(TEXT(V$13,"ddd")="Sun",V$13="",$D80=""),"",IF('Leave Planner'!T81="",1,0))</f>
        <v/>
      </c>
      <c r="W80" s="17" t="str">
        <f>IF(OR(TEXT(W$13,"ddd")="Sun",W$13="",$D80=""),"",IF('Leave Planner'!U81="",1,0))</f>
        <v/>
      </c>
      <c r="X80" s="17" t="str">
        <f>IF(OR(TEXT(X$13,"ddd")="Sun",X$13="",$D80=""),"",IF('Leave Planner'!V81="",1,0))</f>
        <v/>
      </c>
      <c r="Y80" s="17" t="str">
        <f>IF(OR(TEXT(Y$13,"ddd")="Sun",Y$13="",$D80=""),"",IF('Leave Planner'!W81="",1,0))</f>
        <v/>
      </c>
      <c r="Z80" s="17" t="str">
        <f>IF(OR(TEXT(Z$13,"ddd")="Sun",Z$13="",$D80=""),"",IF('Leave Planner'!X81="",1,0))</f>
        <v/>
      </c>
      <c r="AA80" s="17" t="str">
        <f>IF(OR(TEXT(AA$13,"ddd")="Sun",AA$13="",$D80=""),"",IF('Leave Planner'!Y81="",1,0))</f>
        <v/>
      </c>
      <c r="AB80" s="17" t="str">
        <f>IF(OR(TEXT(AB$13,"ddd")="Sun",AB$13="",$D80=""),"",IF('Leave Planner'!Z81="",1,0))</f>
        <v/>
      </c>
      <c r="AC80" s="17" t="str">
        <f>IF(OR(TEXT(AC$13,"ddd")="Sun",AC$13="",$D80=""),"",IF('Leave Planner'!AA81="",1,0))</f>
        <v/>
      </c>
      <c r="AD80" s="17" t="str">
        <f>IF(OR(TEXT(AD$13,"ddd")="Sun",AD$13="",$D80=""),"",IF('Leave Planner'!AB81="",1,0))</f>
        <v/>
      </c>
      <c r="AE80" s="17" t="str">
        <f>IF(OR(TEXT(AE$13,"ddd")="Sun",AE$13="",$D80=""),"",IF('Leave Planner'!AC81="",1,0))</f>
        <v/>
      </c>
      <c r="AF80" s="17" t="str">
        <f>IF(OR(TEXT(AF$13,"ddd")="Sun",AF$13="",$D80=""),"",IF('Leave Planner'!AD81="",1,0))</f>
        <v/>
      </c>
      <c r="AG80" s="17" t="str">
        <f>IF(OR(TEXT(AG$13,"ddd")="Sun",AG$13="",$D80=""),"",IF('Leave Planner'!AE81="",1,0))</f>
        <v/>
      </c>
      <c r="AH80" s="17" t="str">
        <f>IF(OR(TEXT(AH$13,"ddd")="Sun",AH$13="",$D80=""),"",IF('Leave Planner'!AF81="",1,0))</f>
        <v/>
      </c>
      <c r="AI80" s="17" t="str">
        <f>IF(OR(TEXT(AI$13,"ddd")="Sun",AI$13="",$D80=""),"",IF('Leave Planner'!AG81="",1,0))</f>
        <v/>
      </c>
      <c r="AJ80" s="17" t="str">
        <f>IF(OR(TEXT(AJ$13,"ddd")="Sun",AJ$13="",$D80=""),"",IF('Leave Planner'!AH81="",1,0))</f>
        <v/>
      </c>
    </row>
    <row r="81" spans="2:36" x14ac:dyDescent="0.75">
      <c r="B81" s="15"/>
      <c r="C81" s="22"/>
      <c r="D81" s="22"/>
      <c r="E81" s="42" t="str">
        <f t="shared" si="6"/>
        <v/>
      </c>
      <c r="F81" s="17" t="str">
        <f>IF(OR(TEXT(F$13,"ddd")="Sun",F$13="",$D81=""),"",IF('Leave Planner'!D82="",1,0))</f>
        <v/>
      </c>
      <c r="G81" s="17" t="str">
        <f>IF(OR(TEXT(G$13,"ddd")="Sun",G$13="",$D81=""),"",IF('Leave Planner'!E82="",1,0))</f>
        <v/>
      </c>
      <c r="H81" s="17" t="str">
        <f>IF(OR(TEXT(H$13,"ddd")="Sun",H$13="",$D81=""),"",IF('Leave Planner'!F82="",1,0))</f>
        <v/>
      </c>
      <c r="I81" s="17" t="str">
        <f>IF(OR(TEXT(I$13,"ddd")="Sun",I$13="",$D81=""),"",IF('Leave Planner'!G82="",1,0))</f>
        <v/>
      </c>
      <c r="J81" s="17" t="str">
        <f>IF(OR(TEXT(J$13,"ddd")="Sun",J$13="",$D81=""),"",IF('Leave Planner'!H82="",1,0))</f>
        <v/>
      </c>
      <c r="K81" s="17" t="str">
        <f>IF(OR(TEXT(K$13,"ddd")="Sun",K$13="",$D81=""),"",IF('Leave Planner'!I82="",1,0))</f>
        <v/>
      </c>
      <c r="L81" s="17" t="str">
        <f>IF(OR(TEXT(L$13,"ddd")="Sun",L$13="",$D81=""),"",IF('Leave Planner'!J82="",1,0))</f>
        <v/>
      </c>
      <c r="M81" s="17" t="str">
        <f>IF(OR(TEXT(M$13,"ddd")="Sun",M$13="",$D81=""),"",IF('Leave Planner'!K82="",1,0))</f>
        <v/>
      </c>
      <c r="N81" s="17" t="str">
        <f>IF(OR(TEXT(N$13,"ddd")="Sun",N$13="",$D81=""),"",IF('Leave Planner'!L82="",1,0))</f>
        <v/>
      </c>
      <c r="O81" s="17" t="str">
        <f>IF(OR(TEXT(O$13,"ddd")="Sun",O$13="",$D81=""),"",IF('Leave Planner'!M82="",1,0))</f>
        <v/>
      </c>
      <c r="P81" s="17" t="str">
        <f>IF(OR(TEXT(P$13,"ddd")="Sun",P$13="",$D81=""),"",IF('Leave Planner'!N82="",1,0))</f>
        <v/>
      </c>
      <c r="Q81" s="17" t="str">
        <f>IF(OR(TEXT(Q$13,"ddd")="Sun",Q$13="",$D81=""),"",IF('Leave Planner'!O82="",1,0))</f>
        <v/>
      </c>
      <c r="R81" s="17" t="str">
        <f>IF(OR(TEXT(R$13,"ddd")="Sun",R$13="",$D81=""),"",IF('Leave Planner'!P82="",1,0))</f>
        <v/>
      </c>
      <c r="S81" s="17" t="str">
        <f>IF(OR(TEXT(S$13,"ddd")="Sun",S$13="",$D81=""),"",IF('Leave Planner'!Q82="",1,0))</f>
        <v/>
      </c>
      <c r="T81" s="17" t="str">
        <f>IF(OR(TEXT(T$13,"ddd")="Sun",T$13="",$D81=""),"",IF('Leave Planner'!R82="",1,0))</f>
        <v/>
      </c>
      <c r="U81" s="17" t="str">
        <f>IF(OR(TEXT(U$13,"ddd")="Sun",U$13="",$D81=""),"",IF('Leave Planner'!S82="",1,0))</f>
        <v/>
      </c>
      <c r="V81" s="17" t="str">
        <f>IF(OR(TEXT(V$13,"ddd")="Sun",V$13="",$D81=""),"",IF('Leave Planner'!T82="",1,0))</f>
        <v/>
      </c>
      <c r="W81" s="17" t="str">
        <f>IF(OR(TEXT(W$13,"ddd")="Sun",W$13="",$D81=""),"",IF('Leave Planner'!U82="",1,0))</f>
        <v/>
      </c>
      <c r="X81" s="17" t="str">
        <f>IF(OR(TEXT(X$13,"ddd")="Sun",X$13="",$D81=""),"",IF('Leave Planner'!V82="",1,0))</f>
        <v/>
      </c>
      <c r="Y81" s="17" t="str">
        <f>IF(OR(TEXT(Y$13,"ddd")="Sun",Y$13="",$D81=""),"",IF('Leave Planner'!W82="",1,0))</f>
        <v/>
      </c>
      <c r="Z81" s="17" t="str">
        <f>IF(OR(TEXT(Z$13,"ddd")="Sun",Z$13="",$D81=""),"",IF('Leave Planner'!X82="",1,0))</f>
        <v/>
      </c>
      <c r="AA81" s="17" t="str">
        <f>IF(OR(TEXT(AA$13,"ddd")="Sun",AA$13="",$D81=""),"",IF('Leave Planner'!Y82="",1,0))</f>
        <v/>
      </c>
      <c r="AB81" s="17" t="str">
        <f>IF(OR(TEXT(AB$13,"ddd")="Sun",AB$13="",$D81=""),"",IF('Leave Planner'!Z82="",1,0))</f>
        <v/>
      </c>
      <c r="AC81" s="17" t="str">
        <f>IF(OR(TEXT(AC$13,"ddd")="Sun",AC$13="",$D81=""),"",IF('Leave Planner'!AA82="",1,0))</f>
        <v/>
      </c>
      <c r="AD81" s="17" t="str">
        <f>IF(OR(TEXT(AD$13,"ddd")="Sun",AD$13="",$D81=""),"",IF('Leave Planner'!AB82="",1,0))</f>
        <v/>
      </c>
      <c r="AE81" s="17" t="str">
        <f>IF(OR(TEXT(AE$13,"ddd")="Sun",AE$13="",$D81=""),"",IF('Leave Planner'!AC82="",1,0))</f>
        <v/>
      </c>
      <c r="AF81" s="17" t="str">
        <f>IF(OR(TEXT(AF$13,"ddd")="Sun",AF$13="",$D81=""),"",IF('Leave Planner'!AD82="",1,0))</f>
        <v/>
      </c>
      <c r="AG81" s="17" t="str">
        <f>IF(OR(TEXT(AG$13,"ddd")="Sun",AG$13="",$D81=""),"",IF('Leave Planner'!AE82="",1,0))</f>
        <v/>
      </c>
      <c r="AH81" s="17" t="str">
        <f>IF(OR(TEXT(AH$13,"ddd")="Sun",AH$13="",$D81=""),"",IF('Leave Planner'!AF82="",1,0))</f>
        <v/>
      </c>
      <c r="AI81" s="17" t="str">
        <f>IF(OR(TEXT(AI$13,"ddd")="Sun",AI$13="",$D81=""),"",IF('Leave Planner'!AG82="",1,0))</f>
        <v/>
      </c>
      <c r="AJ81" s="17" t="str">
        <f>IF(OR(TEXT(AJ$13,"ddd")="Sun",AJ$13="",$D81=""),"",IF('Leave Planner'!AH82="",1,0))</f>
        <v/>
      </c>
    </row>
    <row r="82" spans="2:36" x14ac:dyDescent="0.75">
      <c r="B82" s="15"/>
      <c r="C82" s="22"/>
      <c r="D82" s="22"/>
      <c r="E82" s="42" t="str">
        <f t="shared" si="6"/>
        <v/>
      </c>
      <c r="F82" s="17" t="str">
        <f>IF(OR(TEXT(F$13,"ddd")="Sun",F$13="",$D82=""),"",IF('Leave Planner'!D83="",1,0))</f>
        <v/>
      </c>
      <c r="G82" s="17" t="str">
        <f>IF(OR(TEXT(G$13,"ddd")="Sun",G$13="",$D82=""),"",IF('Leave Planner'!E83="",1,0))</f>
        <v/>
      </c>
      <c r="H82" s="17" t="str">
        <f>IF(OR(TEXT(H$13,"ddd")="Sun",H$13="",$D82=""),"",IF('Leave Planner'!F83="",1,0))</f>
        <v/>
      </c>
      <c r="I82" s="17" t="str">
        <f>IF(OR(TEXT(I$13,"ddd")="Sun",I$13="",$D82=""),"",IF('Leave Planner'!G83="",1,0))</f>
        <v/>
      </c>
      <c r="J82" s="17" t="str">
        <f>IF(OR(TEXT(J$13,"ddd")="Sun",J$13="",$D82=""),"",IF('Leave Planner'!H83="",1,0))</f>
        <v/>
      </c>
      <c r="K82" s="17" t="str">
        <f>IF(OR(TEXT(K$13,"ddd")="Sun",K$13="",$D82=""),"",IF('Leave Planner'!I83="",1,0))</f>
        <v/>
      </c>
      <c r="L82" s="17" t="str">
        <f>IF(OR(TEXT(L$13,"ddd")="Sun",L$13="",$D82=""),"",IF('Leave Planner'!J83="",1,0))</f>
        <v/>
      </c>
      <c r="M82" s="17" t="str">
        <f>IF(OR(TEXT(M$13,"ddd")="Sun",M$13="",$D82=""),"",IF('Leave Planner'!K83="",1,0))</f>
        <v/>
      </c>
      <c r="N82" s="17" t="str">
        <f>IF(OR(TEXT(N$13,"ddd")="Sun",N$13="",$D82=""),"",IF('Leave Planner'!L83="",1,0))</f>
        <v/>
      </c>
      <c r="O82" s="17" t="str">
        <f>IF(OR(TEXT(O$13,"ddd")="Sun",O$13="",$D82=""),"",IF('Leave Planner'!M83="",1,0))</f>
        <v/>
      </c>
      <c r="P82" s="17" t="str">
        <f>IF(OR(TEXT(P$13,"ddd")="Sun",P$13="",$D82=""),"",IF('Leave Planner'!N83="",1,0))</f>
        <v/>
      </c>
      <c r="Q82" s="17" t="str">
        <f>IF(OR(TEXT(Q$13,"ddd")="Sun",Q$13="",$D82=""),"",IF('Leave Planner'!O83="",1,0))</f>
        <v/>
      </c>
      <c r="R82" s="17" t="str">
        <f>IF(OR(TEXT(R$13,"ddd")="Sun",R$13="",$D82=""),"",IF('Leave Planner'!P83="",1,0))</f>
        <v/>
      </c>
      <c r="S82" s="17" t="str">
        <f>IF(OR(TEXT(S$13,"ddd")="Sun",S$13="",$D82=""),"",IF('Leave Planner'!Q83="",1,0))</f>
        <v/>
      </c>
      <c r="T82" s="17" t="str">
        <f>IF(OR(TEXT(T$13,"ddd")="Sun",T$13="",$D82=""),"",IF('Leave Planner'!R83="",1,0))</f>
        <v/>
      </c>
      <c r="U82" s="17" t="str">
        <f>IF(OR(TEXT(U$13,"ddd")="Sun",U$13="",$D82=""),"",IF('Leave Planner'!S83="",1,0))</f>
        <v/>
      </c>
      <c r="V82" s="17" t="str">
        <f>IF(OR(TEXT(V$13,"ddd")="Sun",V$13="",$D82=""),"",IF('Leave Planner'!T83="",1,0))</f>
        <v/>
      </c>
      <c r="W82" s="17" t="str">
        <f>IF(OR(TEXT(W$13,"ddd")="Sun",W$13="",$D82=""),"",IF('Leave Planner'!U83="",1,0))</f>
        <v/>
      </c>
      <c r="X82" s="17" t="str">
        <f>IF(OR(TEXT(X$13,"ddd")="Sun",X$13="",$D82=""),"",IF('Leave Planner'!V83="",1,0))</f>
        <v/>
      </c>
      <c r="Y82" s="17" t="str">
        <f>IF(OR(TEXT(Y$13,"ddd")="Sun",Y$13="",$D82=""),"",IF('Leave Planner'!W83="",1,0))</f>
        <v/>
      </c>
      <c r="Z82" s="17" t="str">
        <f>IF(OR(TEXT(Z$13,"ddd")="Sun",Z$13="",$D82=""),"",IF('Leave Planner'!X83="",1,0))</f>
        <v/>
      </c>
      <c r="AA82" s="17" t="str">
        <f>IF(OR(TEXT(AA$13,"ddd")="Sun",AA$13="",$D82=""),"",IF('Leave Planner'!Y83="",1,0))</f>
        <v/>
      </c>
      <c r="AB82" s="17" t="str">
        <f>IF(OR(TEXT(AB$13,"ddd")="Sun",AB$13="",$D82=""),"",IF('Leave Planner'!Z83="",1,0))</f>
        <v/>
      </c>
      <c r="AC82" s="17" t="str">
        <f>IF(OR(TEXT(AC$13,"ddd")="Sun",AC$13="",$D82=""),"",IF('Leave Planner'!AA83="",1,0))</f>
        <v/>
      </c>
      <c r="AD82" s="17" t="str">
        <f>IF(OR(TEXT(AD$13,"ddd")="Sun",AD$13="",$D82=""),"",IF('Leave Planner'!AB83="",1,0))</f>
        <v/>
      </c>
      <c r="AE82" s="17" t="str">
        <f>IF(OR(TEXT(AE$13,"ddd")="Sun",AE$13="",$D82=""),"",IF('Leave Planner'!AC83="",1,0))</f>
        <v/>
      </c>
      <c r="AF82" s="17" t="str">
        <f>IF(OR(TEXT(AF$13,"ddd")="Sun",AF$13="",$D82=""),"",IF('Leave Planner'!AD83="",1,0))</f>
        <v/>
      </c>
      <c r="AG82" s="17" t="str">
        <f>IF(OR(TEXT(AG$13,"ddd")="Sun",AG$13="",$D82=""),"",IF('Leave Planner'!AE83="",1,0))</f>
        <v/>
      </c>
      <c r="AH82" s="17" t="str">
        <f>IF(OR(TEXT(AH$13,"ddd")="Sun",AH$13="",$D82=""),"",IF('Leave Planner'!AF83="",1,0))</f>
        <v/>
      </c>
      <c r="AI82" s="17" t="str">
        <f>IF(OR(TEXT(AI$13,"ddd")="Sun",AI$13="",$D82=""),"",IF('Leave Planner'!AG83="",1,0))</f>
        <v/>
      </c>
      <c r="AJ82" s="17" t="str">
        <f>IF(OR(TEXT(AJ$13,"ddd")="Sun",AJ$13="",$D82=""),"",IF('Leave Planner'!AH83="",1,0))</f>
        <v/>
      </c>
    </row>
    <row r="83" spans="2:36" x14ac:dyDescent="0.75">
      <c r="B83" s="15"/>
      <c r="C83" s="22"/>
      <c r="D83" s="22"/>
      <c r="E83" s="42" t="str">
        <f t="shared" si="6"/>
        <v/>
      </c>
      <c r="F83" s="17" t="str">
        <f>IF(OR(TEXT(F$13,"ddd")="Sun",F$13="",$D83=""),"",IF('Leave Planner'!D84="",1,0))</f>
        <v/>
      </c>
      <c r="G83" s="17" t="str">
        <f>IF(OR(TEXT(G$13,"ddd")="Sun",G$13="",$D83=""),"",IF('Leave Planner'!E84="",1,0))</f>
        <v/>
      </c>
      <c r="H83" s="17" t="str">
        <f>IF(OR(TEXT(H$13,"ddd")="Sun",H$13="",$D83=""),"",IF('Leave Planner'!F84="",1,0))</f>
        <v/>
      </c>
      <c r="I83" s="17" t="str">
        <f>IF(OR(TEXT(I$13,"ddd")="Sun",I$13="",$D83=""),"",IF('Leave Planner'!G84="",1,0))</f>
        <v/>
      </c>
      <c r="J83" s="17" t="str">
        <f>IF(OR(TEXT(J$13,"ddd")="Sun",J$13="",$D83=""),"",IF('Leave Planner'!H84="",1,0))</f>
        <v/>
      </c>
      <c r="K83" s="17" t="str">
        <f>IF(OR(TEXT(K$13,"ddd")="Sun",K$13="",$D83=""),"",IF('Leave Planner'!I84="",1,0))</f>
        <v/>
      </c>
      <c r="L83" s="17" t="str">
        <f>IF(OR(TEXT(L$13,"ddd")="Sun",L$13="",$D83=""),"",IF('Leave Planner'!J84="",1,0))</f>
        <v/>
      </c>
      <c r="M83" s="17" t="str">
        <f>IF(OR(TEXT(M$13,"ddd")="Sun",M$13="",$D83=""),"",IF('Leave Planner'!K84="",1,0))</f>
        <v/>
      </c>
      <c r="N83" s="17" t="str">
        <f>IF(OR(TEXT(N$13,"ddd")="Sun",N$13="",$D83=""),"",IF('Leave Planner'!L84="",1,0))</f>
        <v/>
      </c>
      <c r="O83" s="17" t="str">
        <f>IF(OR(TEXT(O$13,"ddd")="Sun",O$13="",$D83=""),"",IF('Leave Planner'!M84="",1,0))</f>
        <v/>
      </c>
      <c r="P83" s="17" t="str">
        <f>IF(OR(TEXT(P$13,"ddd")="Sun",P$13="",$D83=""),"",IF('Leave Planner'!N84="",1,0))</f>
        <v/>
      </c>
      <c r="Q83" s="17" t="str">
        <f>IF(OR(TEXT(Q$13,"ddd")="Sun",Q$13="",$D83=""),"",IF('Leave Planner'!O84="",1,0))</f>
        <v/>
      </c>
      <c r="R83" s="17" t="str">
        <f>IF(OR(TEXT(R$13,"ddd")="Sun",R$13="",$D83=""),"",IF('Leave Planner'!P84="",1,0))</f>
        <v/>
      </c>
      <c r="S83" s="17" t="str">
        <f>IF(OR(TEXT(S$13,"ddd")="Sun",S$13="",$D83=""),"",IF('Leave Planner'!Q84="",1,0))</f>
        <v/>
      </c>
      <c r="T83" s="17" t="str">
        <f>IF(OR(TEXT(T$13,"ddd")="Sun",T$13="",$D83=""),"",IF('Leave Planner'!R84="",1,0))</f>
        <v/>
      </c>
      <c r="U83" s="17" t="str">
        <f>IF(OR(TEXT(U$13,"ddd")="Sun",U$13="",$D83=""),"",IF('Leave Planner'!S84="",1,0))</f>
        <v/>
      </c>
      <c r="V83" s="17" t="str">
        <f>IF(OR(TEXT(V$13,"ddd")="Sun",V$13="",$D83=""),"",IF('Leave Planner'!T84="",1,0))</f>
        <v/>
      </c>
      <c r="W83" s="17" t="str">
        <f>IF(OR(TEXT(W$13,"ddd")="Sun",W$13="",$D83=""),"",IF('Leave Planner'!U84="",1,0))</f>
        <v/>
      </c>
      <c r="X83" s="17" t="str">
        <f>IF(OR(TEXT(X$13,"ddd")="Sun",X$13="",$D83=""),"",IF('Leave Planner'!V84="",1,0))</f>
        <v/>
      </c>
      <c r="Y83" s="17" t="str">
        <f>IF(OR(TEXT(Y$13,"ddd")="Sun",Y$13="",$D83=""),"",IF('Leave Planner'!W84="",1,0))</f>
        <v/>
      </c>
      <c r="Z83" s="17" t="str">
        <f>IF(OR(TEXT(Z$13,"ddd")="Sun",Z$13="",$D83=""),"",IF('Leave Planner'!X84="",1,0))</f>
        <v/>
      </c>
      <c r="AA83" s="17" t="str">
        <f>IF(OR(TEXT(AA$13,"ddd")="Sun",AA$13="",$D83=""),"",IF('Leave Planner'!Y84="",1,0))</f>
        <v/>
      </c>
      <c r="AB83" s="17" t="str">
        <f>IF(OR(TEXT(AB$13,"ddd")="Sun",AB$13="",$D83=""),"",IF('Leave Planner'!Z84="",1,0))</f>
        <v/>
      </c>
      <c r="AC83" s="17" t="str">
        <f>IF(OR(TEXT(AC$13,"ddd")="Sun",AC$13="",$D83=""),"",IF('Leave Planner'!AA84="",1,0))</f>
        <v/>
      </c>
      <c r="AD83" s="17" t="str">
        <f>IF(OR(TEXT(AD$13,"ddd")="Sun",AD$13="",$D83=""),"",IF('Leave Planner'!AB84="",1,0))</f>
        <v/>
      </c>
      <c r="AE83" s="17" t="str">
        <f>IF(OR(TEXT(AE$13,"ddd")="Sun",AE$13="",$D83=""),"",IF('Leave Planner'!AC84="",1,0))</f>
        <v/>
      </c>
      <c r="AF83" s="17" t="str">
        <f>IF(OR(TEXT(AF$13,"ddd")="Sun",AF$13="",$D83=""),"",IF('Leave Planner'!AD84="",1,0))</f>
        <v/>
      </c>
      <c r="AG83" s="17" t="str">
        <f>IF(OR(TEXT(AG$13,"ddd")="Sun",AG$13="",$D83=""),"",IF('Leave Planner'!AE84="",1,0))</f>
        <v/>
      </c>
      <c r="AH83" s="17" t="str">
        <f>IF(OR(TEXT(AH$13,"ddd")="Sun",AH$13="",$D83=""),"",IF('Leave Planner'!AF84="",1,0))</f>
        <v/>
      </c>
      <c r="AI83" s="17" t="str">
        <f>IF(OR(TEXT(AI$13,"ddd")="Sun",AI$13="",$D83=""),"",IF('Leave Planner'!AG84="",1,0))</f>
        <v/>
      </c>
      <c r="AJ83" s="17" t="str">
        <f>IF(OR(TEXT(AJ$13,"ddd")="Sun",AJ$13="",$D83=""),"",IF('Leave Planner'!AH84="",1,0))</f>
        <v/>
      </c>
    </row>
    <row r="84" spans="2:36" x14ac:dyDescent="0.75">
      <c r="B84" s="15"/>
      <c r="C84" s="22"/>
      <c r="D84" s="22"/>
      <c r="E84" s="42" t="str">
        <f t="shared" si="6"/>
        <v/>
      </c>
      <c r="F84" s="17" t="str">
        <f>IF(OR(TEXT(F$13,"ddd")="Sun",F$13="",$D84=""),"",IF('Leave Planner'!D85="",1,0))</f>
        <v/>
      </c>
      <c r="G84" s="17" t="str">
        <f>IF(OR(TEXT(G$13,"ddd")="Sun",G$13="",$D84=""),"",IF('Leave Planner'!E85="",1,0))</f>
        <v/>
      </c>
      <c r="H84" s="17" t="str">
        <f>IF(OR(TEXT(H$13,"ddd")="Sun",H$13="",$D84=""),"",IF('Leave Planner'!F85="",1,0))</f>
        <v/>
      </c>
      <c r="I84" s="17" t="str">
        <f>IF(OR(TEXT(I$13,"ddd")="Sun",I$13="",$D84=""),"",IF('Leave Planner'!G85="",1,0))</f>
        <v/>
      </c>
      <c r="J84" s="17" t="str">
        <f>IF(OR(TEXT(J$13,"ddd")="Sun",J$13="",$D84=""),"",IF('Leave Planner'!H85="",1,0))</f>
        <v/>
      </c>
      <c r="K84" s="17" t="str">
        <f>IF(OR(TEXT(K$13,"ddd")="Sun",K$13="",$D84=""),"",IF('Leave Planner'!I85="",1,0))</f>
        <v/>
      </c>
      <c r="L84" s="17" t="str">
        <f>IF(OR(TEXT(L$13,"ddd")="Sun",L$13="",$D84=""),"",IF('Leave Planner'!J85="",1,0))</f>
        <v/>
      </c>
      <c r="M84" s="17" t="str">
        <f>IF(OR(TEXT(M$13,"ddd")="Sun",M$13="",$D84=""),"",IF('Leave Planner'!K85="",1,0))</f>
        <v/>
      </c>
      <c r="N84" s="17" t="str">
        <f>IF(OR(TEXT(N$13,"ddd")="Sun",N$13="",$D84=""),"",IF('Leave Planner'!L85="",1,0))</f>
        <v/>
      </c>
      <c r="O84" s="17" t="str">
        <f>IF(OR(TEXT(O$13,"ddd")="Sun",O$13="",$D84=""),"",IF('Leave Planner'!M85="",1,0))</f>
        <v/>
      </c>
      <c r="P84" s="17" t="str">
        <f>IF(OR(TEXT(P$13,"ddd")="Sun",P$13="",$D84=""),"",IF('Leave Planner'!N85="",1,0))</f>
        <v/>
      </c>
      <c r="Q84" s="17" t="str">
        <f>IF(OR(TEXT(Q$13,"ddd")="Sun",Q$13="",$D84=""),"",IF('Leave Planner'!O85="",1,0))</f>
        <v/>
      </c>
      <c r="R84" s="17" t="str">
        <f>IF(OR(TEXT(R$13,"ddd")="Sun",R$13="",$D84=""),"",IF('Leave Planner'!P85="",1,0))</f>
        <v/>
      </c>
      <c r="S84" s="17" t="str">
        <f>IF(OR(TEXT(S$13,"ddd")="Sun",S$13="",$D84=""),"",IF('Leave Planner'!Q85="",1,0))</f>
        <v/>
      </c>
      <c r="T84" s="17" t="str">
        <f>IF(OR(TEXT(T$13,"ddd")="Sun",T$13="",$D84=""),"",IF('Leave Planner'!R85="",1,0))</f>
        <v/>
      </c>
      <c r="U84" s="17" t="str">
        <f>IF(OR(TEXT(U$13,"ddd")="Sun",U$13="",$D84=""),"",IF('Leave Planner'!S85="",1,0))</f>
        <v/>
      </c>
      <c r="V84" s="17" t="str">
        <f>IF(OR(TEXT(V$13,"ddd")="Sun",V$13="",$D84=""),"",IF('Leave Planner'!T85="",1,0))</f>
        <v/>
      </c>
      <c r="W84" s="17" t="str">
        <f>IF(OR(TEXT(W$13,"ddd")="Sun",W$13="",$D84=""),"",IF('Leave Planner'!U85="",1,0))</f>
        <v/>
      </c>
      <c r="X84" s="17" t="str">
        <f>IF(OR(TEXT(X$13,"ddd")="Sun",X$13="",$D84=""),"",IF('Leave Planner'!V85="",1,0))</f>
        <v/>
      </c>
      <c r="Y84" s="17" t="str">
        <f>IF(OR(TEXT(Y$13,"ddd")="Sun",Y$13="",$D84=""),"",IF('Leave Planner'!W85="",1,0))</f>
        <v/>
      </c>
      <c r="Z84" s="17" t="str">
        <f>IF(OR(TEXT(Z$13,"ddd")="Sun",Z$13="",$D84=""),"",IF('Leave Planner'!X85="",1,0))</f>
        <v/>
      </c>
      <c r="AA84" s="17" t="str">
        <f>IF(OR(TEXT(AA$13,"ddd")="Sun",AA$13="",$D84=""),"",IF('Leave Planner'!Y85="",1,0))</f>
        <v/>
      </c>
      <c r="AB84" s="17" t="str">
        <f>IF(OR(TEXT(AB$13,"ddd")="Sun",AB$13="",$D84=""),"",IF('Leave Planner'!Z85="",1,0))</f>
        <v/>
      </c>
      <c r="AC84" s="17" t="str">
        <f>IF(OR(TEXT(AC$13,"ddd")="Sun",AC$13="",$D84=""),"",IF('Leave Planner'!AA85="",1,0))</f>
        <v/>
      </c>
      <c r="AD84" s="17" t="str">
        <f>IF(OR(TEXT(AD$13,"ddd")="Sun",AD$13="",$D84=""),"",IF('Leave Planner'!AB85="",1,0))</f>
        <v/>
      </c>
      <c r="AE84" s="17" t="str">
        <f>IF(OR(TEXT(AE$13,"ddd")="Sun",AE$13="",$D84=""),"",IF('Leave Planner'!AC85="",1,0))</f>
        <v/>
      </c>
      <c r="AF84" s="17" t="str">
        <f>IF(OR(TEXT(AF$13,"ddd")="Sun",AF$13="",$D84=""),"",IF('Leave Planner'!AD85="",1,0))</f>
        <v/>
      </c>
      <c r="AG84" s="17" t="str">
        <f>IF(OR(TEXT(AG$13,"ddd")="Sun",AG$13="",$D84=""),"",IF('Leave Planner'!AE85="",1,0))</f>
        <v/>
      </c>
      <c r="AH84" s="17" t="str">
        <f>IF(OR(TEXT(AH$13,"ddd")="Sun",AH$13="",$D84=""),"",IF('Leave Planner'!AF85="",1,0))</f>
        <v/>
      </c>
      <c r="AI84" s="17" t="str">
        <f>IF(OR(TEXT(AI$13,"ddd")="Sun",AI$13="",$D84=""),"",IF('Leave Planner'!AG85="",1,0))</f>
        <v/>
      </c>
      <c r="AJ84" s="17" t="str">
        <f>IF(OR(TEXT(AJ$13,"ddd")="Sun",AJ$13="",$D84=""),"",IF('Leave Planner'!AH85="",1,0))</f>
        <v/>
      </c>
    </row>
    <row r="85" spans="2:36" x14ac:dyDescent="0.75">
      <c r="B85" s="15"/>
      <c r="C85" s="22"/>
      <c r="D85" s="22"/>
      <c r="E85" s="42" t="str">
        <f t="shared" si="6"/>
        <v/>
      </c>
      <c r="F85" s="17" t="str">
        <f>IF(OR(TEXT(F$13,"ddd")="Sun",F$13="",$D85=""),"",IF('Leave Planner'!D86="",1,0))</f>
        <v/>
      </c>
      <c r="G85" s="17" t="str">
        <f>IF(OR(TEXT(G$13,"ddd")="Sun",G$13="",$D85=""),"",IF('Leave Planner'!E86="",1,0))</f>
        <v/>
      </c>
      <c r="H85" s="17" t="str">
        <f>IF(OR(TEXT(H$13,"ddd")="Sun",H$13="",$D85=""),"",IF('Leave Planner'!F86="",1,0))</f>
        <v/>
      </c>
      <c r="I85" s="17" t="str">
        <f>IF(OR(TEXT(I$13,"ddd")="Sun",I$13="",$D85=""),"",IF('Leave Planner'!G86="",1,0))</f>
        <v/>
      </c>
      <c r="J85" s="17" t="str">
        <f>IF(OR(TEXT(J$13,"ddd")="Sun",J$13="",$D85=""),"",IF('Leave Planner'!H86="",1,0))</f>
        <v/>
      </c>
      <c r="K85" s="17" t="str">
        <f>IF(OR(TEXT(K$13,"ddd")="Sun",K$13="",$D85=""),"",IF('Leave Planner'!I86="",1,0))</f>
        <v/>
      </c>
      <c r="L85" s="17" t="str">
        <f>IF(OR(TEXT(L$13,"ddd")="Sun",L$13="",$D85=""),"",IF('Leave Planner'!J86="",1,0))</f>
        <v/>
      </c>
      <c r="M85" s="17" t="str">
        <f>IF(OR(TEXT(M$13,"ddd")="Sun",M$13="",$D85=""),"",IF('Leave Planner'!K86="",1,0))</f>
        <v/>
      </c>
      <c r="N85" s="17" t="str">
        <f>IF(OR(TEXT(N$13,"ddd")="Sun",N$13="",$D85=""),"",IF('Leave Planner'!L86="",1,0))</f>
        <v/>
      </c>
      <c r="O85" s="17" t="str">
        <f>IF(OR(TEXT(O$13,"ddd")="Sun",O$13="",$D85=""),"",IF('Leave Planner'!M86="",1,0))</f>
        <v/>
      </c>
      <c r="P85" s="17" t="str">
        <f>IF(OR(TEXT(P$13,"ddd")="Sun",P$13="",$D85=""),"",IF('Leave Planner'!N86="",1,0))</f>
        <v/>
      </c>
      <c r="Q85" s="17" t="str">
        <f>IF(OR(TEXT(Q$13,"ddd")="Sun",Q$13="",$D85=""),"",IF('Leave Planner'!O86="",1,0))</f>
        <v/>
      </c>
      <c r="R85" s="17" t="str">
        <f>IF(OR(TEXT(R$13,"ddd")="Sun",R$13="",$D85=""),"",IF('Leave Planner'!P86="",1,0))</f>
        <v/>
      </c>
      <c r="S85" s="17" t="str">
        <f>IF(OR(TEXT(S$13,"ddd")="Sun",S$13="",$D85=""),"",IF('Leave Planner'!Q86="",1,0))</f>
        <v/>
      </c>
      <c r="T85" s="17" t="str">
        <f>IF(OR(TEXT(T$13,"ddd")="Sun",T$13="",$D85=""),"",IF('Leave Planner'!R86="",1,0))</f>
        <v/>
      </c>
      <c r="U85" s="17" t="str">
        <f>IF(OR(TEXT(U$13,"ddd")="Sun",U$13="",$D85=""),"",IF('Leave Planner'!S86="",1,0))</f>
        <v/>
      </c>
      <c r="V85" s="17" t="str">
        <f>IF(OR(TEXT(V$13,"ddd")="Sun",V$13="",$D85=""),"",IF('Leave Planner'!T86="",1,0))</f>
        <v/>
      </c>
      <c r="W85" s="17" t="str">
        <f>IF(OR(TEXT(W$13,"ddd")="Sun",W$13="",$D85=""),"",IF('Leave Planner'!U86="",1,0))</f>
        <v/>
      </c>
      <c r="X85" s="17" t="str">
        <f>IF(OR(TEXT(X$13,"ddd")="Sun",X$13="",$D85=""),"",IF('Leave Planner'!V86="",1,0))</f>
        <v/>
      </c>
      <c r="Y85" s="17" t="str">
        <f>IF(OR(TEXT(Y$13,"ddd")="Sun",Y$13="",$D85=""),"",IF('Leave Planner'!W86="",1,0))</f>
        <v/>
      </c>
      <c r="Z85" s="17" t="str">
        <f>IF(OR(TEXT(Z$13,"ddd")="Sun",Z$13="",$D85=""),"",IF('Leave Planner'!X86="",1,0))</f>
        <v/>
      </c>
      <c r="AA85" s="17" t="str">
        <f>IF(OR(TEXT(AA$13,"ddd")="Sun",AA$13="",$D85=""),"",IF('Leave Planner'!Y86="",1,0))</f>
        <v/>
      </c>
      <c r="AB85" s="17" t="str">
        <f>IF(OR(TEXT(AB$13,"ddd")="Sun",AB$13="",$D85=""),"",IF('Leave Planner'!Z86="",1,0))</f>
        <v/>
      </c>
      <c r="AC85" s="17" t="str">
        <f>IF(OR(TEXT(AC$13,"ddd")="Sun",AC$13="",$D85=""),"",IF('Leave Planner'!AA86="",1,0))</f>
        <v/>
      </c>
      <c r="AD85" s="17" t="str">
        <f>IF(OR(TEXT(AD$13,"ddd")="Sun",AD$13="",$D85=""),"",IF('Leave Planner'!AB86="",1,0))</f>
        <v/>
      </c>
      <c r="AE85" s="17" t="str">
        <f>IF(OR(TEXT(AE$13,"ddd")="Sun",AE$13="",$D85=""),"",IF('Leave Planner'!AC86="",1,0))</f>
        <v/>
      </c>
      <c r="AF85" s="17" t="str">
        <f>IF(OR(TEXT(AF$13,"ddd")="Sun",AF$13="",$D85=""),"",IF('Leave Planner'!AD86="",1,0))</f>
        <v/>
      </c>
      <c r="AG85" s="17" t="str">
        <f>IF(OR(TEXT(AG$13,"ddd")="Sun",AG$13="",$D85=""),"",IF('Leave Planner'!AE86="",1,0))</f>
        <v/>
      </c>
      <c r="AH85" s="17" t="str">
        <f>IF(OR(TEXT(AH$13,"ddd")="Sun",AH$13="",$D85=""),"",IF('Leave Planner'!AF86="",1,0))</f>
        <v/>
      </c>
      <c r="AI85" s="17" t="str">
        <f>IF(OR(TEXT(AI$13,"ddd")="Sun",AI$13="",$D85=""),"",IF('Leave Planner'!AG86="",1,0))</f>
        <v/>
      </c>
      <c r="AJ85" s="17" t="str">
        <f>IF(OR(TEXT(AJ$13,"ddd")="Sun",AJ$13="",$D85=""),"",IF('Leave Planner'!AH86="",1,0))</f>
        <v/>
      </c>
    </row>
    <row r="86" spans="2:36" x14ac:dyDescent="0.75">
      <c r="B86" s="15"/>
      <c r="C86" s="22"/>
      <c r="D86" s="22"/>
      <c r="E86" s="42" t="str">
        <f t="shared" si="6"/>
        <v/>
      </c>
      <c r="F86" s="17" t="str">
        <f>IF(OR(TEXT(F$13,"ddd")="Sun",F$13="",$D86=""),"",IF('Leave Planner'!D87="",1,0))</f>
        <v/>
      </c>
      <c r="G86" s="17" t="str">
        <f>IF(OR(TEXT(G$13,"ddd")="Sun",G$13="",$D86=""),"",IF('Leave Planner'!E87="",1,0))</f>
        <v/>
      </c>
      <c r="H86" s="17" t="str">
        <f>IF(OR(TEXT(H$13,"ddd")="Sun",H$13="",$D86=""),"",IF('Leave Planner'!F87="",1,0))</f>
        <v/>
      </c>
      <c r="I86" s="17" t="str">
        <f>IF(OR(TEXT(I$13,"ddd")="Sun",I$13="",$D86=""),"",IF('Leave Planner'!G87="",1,0))</f>
        <v/>
      </c>
      <c r="J86" s="17" t="str">
        <f>IF(OR(TEXT(J$13,"ddd")="Sun",J$13="",$D86=""),"",IF('Leave Planner'!H87="",1,0))</f>
        <v/>
      </c>
      <c r="K86" s="17" t="str">
        <f>IF(OR(TEXT(K$13,"ddd")="Sun",K$13="",$D86=""),"",IF('Leave Planner'!I87="",1,0))</f>
        <v/>
      </c>
      <c r="L86" s="17" t="str">
        <f>IF(OR(TEXT(L$13,"ddd")="Sun",L$13="",$D86=""),"",IF('Leave Planner'!J87="",1,0))</f>
        <v/>
      </c>
      <c r="M86" s="17" t="str">
        <f>IF(OR(TEXT(M$13,"ddd")="Sun",M$13="",$D86=""),"",IF('Leave Planner'!K87="",1,0))</f>
        <v/>
      </c>
      <c r="N86" s="17" t="str">
        <f>IF(OR(TEXT(N$13,"ddd")="Sun",N$13="",$D86=""),"",IF('Leave Planner'!L87="",1,0))</f>
        <v/>
      </c>
      <c r="O86" s="17" t="str">
        <f>IF(OR(TEXT(O$13,"ddd")="Sun",O$13="",$D86=""),"",IF('Leave Planner'!M87="",1,0))</f>
        <v/>
      </c>
      <c r="P86" s="17" t="str">
        <f>IF(OR(TEXT(P$13,"ddd")="Sun",P$13="",$D86=""),"",IF('Leave Planner'!N87="",1,0))</f>
        <v/>
      </c>
      <c r="Q86" s="17" t="str">
        <f>IF(OR(TEXT(Q$13,"ddd")="Sun",Q$13="",$D86=""),"",IF('Leave Planner'!O87="",1,0))</f>
        <v/>
      </c>
      <c r="R86" s="17" t="str">
        <f>IF(OR(TEXT(R$13,"ddd")="Sun",R$13="",$D86=""),"",IF('Leave Planner'!P87="",1,0))</f>
        <v/>
      </c>
      <c r="S86" s="17" t="str">
        <f>IF(OR(TEXT(S$13,"ddd")="Sun",S$13="",$D86=""),"",IF('Leave Planner'!Q87="",1,0))</f>
        <v/>
      </c>
      <c r="T86" s="17" t="str">
        <f>IF(OR(TEXT(T$13,"ddd")="Sun",T$13="",$D86=""),"",IF('Leave Planner'!R87="",1,0))</f>
        <v/>
      </c>
      <c r="U86" s="17" t="str">
        <f>IF(OR(TEXT(U$13,"ddd")="Sun",U$13="",$D86=""),"",IF('Leave Planner'!S87="",1,0))</f>
        <v/>
      </c>
      <c r="V86" s="17" t="str">
        <f>IF(OR(TEXT(V$13,"ddd")="Sun",V$13="",$D86=""),"",IF('Leave Planner'!T87="",1,0))</f>
        <v/>
      </c>
      <c r="W86" s="17" t="str">
        <f>IF(OR(TEXT(W$13,"ddd")="Sun",W$13="",$D86=""),"",IF('Leave Planner'!U87="",1,0))</f>
        <v/>
      </c>
      <c r="X86" s="17" t="str">
        <f>IF(OR(TEXT(X$13,"ddd")="Sun",X$13="",$D86=""),"",IF('Leave Planner'!V87="",1,0))</f>
        <v/>
      </c>
      <c r="Y86" s="17" t="str">
        <f>IF(OR(TEXT(Y$13,"ddd")="Sun",Y$13="",$D86=""),"",IF('Leave Planner'!W87="",1,0))</f>
        <v/>
      </c>
      <c r="Z86" s="17" t="str">
        <f>IF(OR(TEXT(Z$13,"ddd")="Sun",Z$13="",$D86=""),"",IF('Leave Planner'!X87="",1,0))</f>
        <v/>
      </c>
      <c r="AA86" s="17" t="str">
        <f>IF(OR(TEXT(AA$13,"ddd")="Sun",AA$13="",$D86=""),"",IF('Leave Planner'!Y87="",1,0))</f>
        <v/>
      </c>
      <c r="AB86" s="17" t="str">
        <f>IF(OR(TEXT(AB$13,"ddd")="Sun",AB$13="",$D86=""),"",IF('Leave Planner'!Z87="",1,0))</f>
        <v/>
      </c>
      <c r="AC86" s="17" t="str">
        <f>IF(OR(TEXT(AC$13,"ddd")="Sun",AC$13="",$D86=""),"",IF('Leave Planner'!AA87="",1,0))</f>
        <v/>
      </c>
      <c r="AD86" s="17" t="str">
        <f>IF(OR(TEXT(AD$13,"ddd")="Sun",AD$13="",$D86=""),"",IF('Leave Planner'!AB87="",1,0))</f>
        <v/>
      </c>
      <c r="AE86" s="17" t="str">
        <f>IF(OR(TEXT(AE$13,"ddd")="Sun",AE$13="",$D86=""),"",IF('Leave Planner'!AC87="",1,0))</f>
        <v/>
      </c>
      <c r="AF86" s="17" t="str">
        <f>IF(OR(TEXT(AF$13,"ddd")="Sun",AF$13="",$D86=""),"",IF('Leave Planner'!AD87="",1,0))</f>
        <v/>
      </c>
      <c r="AG86" s="17" t="str">
        <f>IF(OR(TEXT(AG$13,"ddd")="Sun",AG$13="",$D86=""),"",IF('Leave Planner'!AE87="",1,0))</f>
        <v/>
      </c>
      <c r="AH86" s="17" t="str">
        <f>IF(OR(TEXT(AH$13,"ddd")="Sun",AH$13="",$D86=""),"",IF('Leave Planner'!AF87="",1,0))</f>
        <v/>
      </c>
      <c r="AI86" s="17" t="str">
        <f>IF(OR(TEXT(AI$13,"ddd")="Sun",AI$13="",$D86=""),"",IF('Leave Planner'!AG87="",1,0))</f>
        <v/>
      </c>
      <c r="AJ86" s="17" t="str">
        <f>IF(OR(TEXT(AJ$13,"ddd")="Sun",AJ$13="",$D86=""),"",IF('Leave Planner'!AH87="",1,0))</f>
        <v/>
      </c>
    </row>
    <row r="87" spans="2:36" x14ac:dyDescent="0.75">
      <c r="B87" s="15"/>
      <c r="C87" s="22"/>
      <c r="D87" s="22"/>
      <c r="E87" s="42" t="str">
        <f t="shared" si="6"/>
        <v/>
      </c>
      <c r="F87" s="17" t="str">
        <f>IF(OR(TEXT(F$13,"ddd")="Sun",F$13="",$D87=""),"",IF('Leave Planner'!D88="",1,0))</f>
        <v/>
      </c>
      <c r="G87" s="17" t="str">
        <f>IF(OR(TEXT(G$13,"ddd")="Sun",G$13="",$D87=""),"",IF('Leave Planner'!E88="",1,0))</f>
        <v/>
      </c>
      <c r="H87" s="17" t="str">
        <f>IF(OR(TEXT(H$13,"ddd")="Sun",H$13="",$D87=""),"",IF('Leave Planner'!F88="",1,0))</f>
        <v/>
      </c>
      <c r="I87" s="17" t="str">
        <f>IF(OR(TEXT(I$13,"ddd")="Sun",I$13="",$D87=""),"",IF('Leave Planner'!G88="",1,0))</f>
        <v/>
      </c>
      <c r="J87" s="17" t="str">
        <f>IF(OR(TEXT(J$13,"ddd")="Sun",J$13="",$D87=""),"",IF('Leave Planner'!H88="",1,0))</f>
        <v/>
      </c>
      <c r="K87" s="17" t="str">
        <f>IF(OR(TEXT(K$13,"ddd")="Sun",K$13="",$D87=""),"",IF('Leave Planner'!I88="",1,0))</f>
        <v/>
      </c>
      <c r="L87" s="17" t="str">
        <f>IF(OR(TEXT(L$13,"ddd")="Sun",L$13="",$D87=""),"",IF('Leave Planner'!J88="",1,0))</f>
        <v/>
      </c>
      <c r="M87" s="17" t="str">
        <f>IF(OR(TEXT(M$13,"ddd")="Sun",M$13="",$D87=""),"",IF('Leave Planner'!K88="",1,0))</f>
        <v/>
      </c>
      <c r="N87" s="17" t="str">
        <f>IF(OR(TEXT(N$13,"ddd")="Sun",N$13="",$D87=""),"",IF('Leave Planner'!L88="",1,0))</f>
        <v/>
      </c>
      <c r="O87" s="17" t="str">
        <f>IF(OR(TEXT(O$13,"ddd")="Sun",O$13="",$D87=""),"",IF('Leave Planner'!M88="",1,0))</f>
        <v/>
      </c>
      <c r="P87" s="17" t="str">
        <f>IF(OR(TEXT(P$13,"ddd")="Sun",P$13="",$D87=""),"",IF('Leave Planner'!N88="",1,0))</f>
        <v/>
      </c>
      <c r="Q87" s="17" t="str">
        <f>IF(OR(TEXT(Q$13,"ddd")="Sun",Q$13="",$D87=""),"",IF('Leave Planner'!O88="",1,0))</f>
        <v/>
      </c>
      <c r="R87" s="17" t="str">
        <f>IF(OR(TEXT(R$13,"ddd")="Sun",R$13="",$D87=""),"",IF('Leave Planner'!P88="",1,0))</f>
        <v/>
      </c>
      <c r="S87" s="17" t="str">
        <f>IF(OR(TEXT(S$13,"ddd")="Sun",S$13="",$D87=""),"",IF('Leave Planner'!Q88="",1,0))</f>
        <v/>
      </c>
      <c r="T87" s="17" t="str">
        <f>IF(OR(TEXT(T$13,"ddd")="Sun",T$13="",$D87=""),"",IF('Leave Planner'!R88="",1,0))</f>
        <v/>
      </c>
      <c r="U87" s="17" t="str">
        <f>IF(OR(TEXT(U$13,"ddd")="Sun",U$13="",$D87=""),"",IF('Leave Planner'!S88="",1,0))</f>
        <v/>
      </c>
      <c r="V87" s="17" t="str">
        <f>IF(OR(TEXT(V$13,"ddd")="Sun",V$13="",$D87=""),"",IF('Leave Planner'!T88="",1,0))</f>
        <v/>
      </c>
      <c r="W87" s="17" t="str">
        <f>IF(OR(TEXT(W$13,"ddd")="Sun",W$13="",$D87=""),"",IF('Leave Planner'!U88="",1,0))</f>
        <v/>
      </c>
      <c r="X87" s="17" t="str">
        <f>IF(OR(TEXT(X$13,"ddd")="Sun",X$13="",$D87=""),"",IF('Leave Planner'!V88="",1,0))</f>
        <v/>
      </c>
      <c r="Y87" s="17" t="str">
        <f>IF(OR(TEXT(Y$13,"ddd")="Sun",Y$13="",$D87=""),"",IF('Leave Planner'!W88="",1,0))</f>
        <v/>
      </c>
      <c r="Z87" s="17" t="str">
        <f>IF(OR(TEXT(Z$13,"ddd")="Sun",Z$13="",$D87=""),"",IF('Leave Planner'!X88="",1,0))</f>
        <v/>
      </c>
      <c r="AA87" s="17" t="str">
        <f>IF(OR(TEXT(AA$13,"ddd")="Sun",AA$13="",$D87=""),"",IF('Leave Planner'!Y88="",1,0))</f>
        <v/>
      </c>
      <c r="AB87" s="17" t="str">
        <f>IF(OR(TEXT(AB$13,"ddd")="Sun",AB$13="",$D87=""),"",IF('Leave Planner'!Z88="",1,0))</f>
        <v/>
      </c>
      <c r="AC87" s="17" t="str">
        <f>IF(OR(TEXT(AC$13,"ddd")="Sun",AC$13="",$D87=""),"",IF('Leave Planner'!AA88="",1,0))</f>
        <v/>
      </c>
      <c r="AD87" s="17" t="str">
        <f>IF(OR(TEXT(AD$13,"ddd")="Sun",AD$13="",$D87=""),"",IF('Leave Planner'!AB88="",1,0))</f>
        <v/>
      </c>
      <c r="AE87" s="17" t="str">
        <f>IF(OR(TEXT(AE$13,"ddd")="Sun",AE$13="",$D87=""),"",IF('Leave Planner'!AC88="",1,0))</f>
        <v/>
      </c>
      <c r="AF87" s="17" t="str">
        <f>IF(OR(TEXT(AF$13,"ddd")="Sun",AF$13="",$D87=""),"",IF('Leave Planner'!AD88="",1,0))</f>
        <v/>
      </c>
      <c r="AG87" s="17" t="str">
        <f>IF(OR(TEXT(AG$13,"ddd")="Sun",AG$13="",$D87=""),"",IF('Leave Planner'!AE88="",1,0))</f>
        <v/>
      </c>
      <c r="AH87" s="17" t="str">
        <f>IF(OR(TEXT(AH$13,"ddd")="Sun",AH$13="",$D87=""),"",IF('Leave Planner'!AF88="",1,0))</f>
        <v/>
      </c>
      <c r="AI87" s="17" t="str">
        <f>IF(OR(TEXT(AI$13,"ddd")="Sun",AI$13="",$D87=""),"",IF('Leave Planner'!AG88="",1,0))</f>
        <v/>
      </c>
      <c r="AJ87" s="17" t="str">
        <f>IF(OR(TEXT(AJ$13,"ddd")="Sun",AJ$13="",$D87=""),"",IF('Leave Planner'!AH88="",1,0))</f>
        <v/>
      </c>
    </row>
    <row r="88" spans="2:36" x14ac:dyDescent="0.75">
      <c r="B88" s="15"/>
      <c r="C88" s="22"/>
      <c r="D88" s="22"/>
      <c r="E88" s="42" t="str">
        <f t="shared" si="6"/>
        <v/>
      </c>
      <c r="F88" s="17" t="str">
        <f>IF(OR(TEXT(F$13,"ddd")="Sun",F$13="",$D88=""),"",IF('Leave Planner'!D89="",1,0))</f>
        <v/>
      </c>
      <c r="G88" s="17" t="str">
        <f>IF(OR(TEXT(G$13,"ddd")="Sun",G$13="",$D88=""),"",IF('Leave Planner'!E89="",1,0))</f>
        <v/>
      </c>
      <c r="H88" s="17" t="str">
        <f>IF(OR(TEXT(H$13,"ddd")="Sun",H$13="",$D88=""),"",IF('Leave Planner'!F89="",1,0))</f>
        <v/>
      </c>
      <c r="I88" s="17" t="str">
        <f>IF(OR(TEXT(I$13,"ddd")="Sun",I$13="",$D88=""),"",IF('Leave Planner'!G89="",1,0))</f>
        <v/>
      </c>
      <c r="J88" s="17" t="str">
        <f>IF(OR(TEXT(J$13,"ddd")="Sun",J$13="",$D88=""),"",IF('Leave Planner'!H89="",1,0))</f>
        <v/>
      </c>
      <c r="K88" s="17" t="str">
        <f>IF(OR(TEXT(K$13,"ddd")="Sun",K$13="",$D88=""),"",IF('Leave Planner'!I89="",1,0))</f>
        <v/>
      </c>
      <c r="L88" s="17" t="str">
        <f>IF(OR(TEXT(L$13,"ddd")="Sun",L$13="",$D88=""),"",IF('Leave Planner'!J89="",1,0))</f>
        <v/>
      </c>
      <c r="M88" s="17" t="str">
        <f>IF(OR(TEXT(M$13,"ddd")="Sun",M$13="",$D88=""),"",IF('Leave Planner'!K89="",1,0))</f>
        <v/>
      </c>
      <c r="N88" s="17" t="str">
        <f>IF(OR(TEXT(N$13,"ddd")="Sun",N$13="",$D88=""),"",IF('Leave Planner'!L89="",1,0))</f>
        <v/>
      </c>
      <c r="O88" s="17" t="str">
        <f>IF(OR(TEXT(O$13,"ddd")="Sun",O$13="",$D88=""),"",IF('Leave Planner'!M89="",1,0))</f>
        <v/>
      </c>
      <c r="P88" s="17" t="str">
        <f>IF(OR(TEXT(P$13,"ddd")="Sun",P$13="",$D88=""),"",IF('Leave Planner'!N89="",1,0))</f>
        <v/>
      </c>
      <c r="Q88" s="17" t="str">
        <f>IF(OR(TEXT(Q$13,"ddd")="Sun",Q$13="",$D88=""),"",IF('Leave Planner'!O89="",1,0))</f>
        <v/>
      </c>
      <c r="R88" s="17" t="str">
        <f>IF(OR(TEXT(R$13,"ddd")="Sun",R$13="",$D88=""),"",IF('Leave Planner'!P89="",1,0))</f>
        <v/>
      </c>
      <c r="S88" s="17" t="str">
        <f>IF(OR(TEXT(S$13,"ddd")="Sun",S$13="",$D88=""),"",IF('Leave Planner'!Q89="",1,0))</f>
        <v/>
      </c>
      <c r="T88" s="17" t="str">
        <f>IF(OR(TEXT(T$13,"ddd")="Sun",T$13="",$D88=""),"",IF('Leave Planner'!R89="",1,0))</f>
        <v/>
      </c>
      <c r="U88" s="17" t="str">
        <f>IF(OR(TEXT(U$13,"ddd")="Sun",U$13="",$D88=""),"",IF('Leave Planner'!S89="",1,0))</f>
        <v/>
      </c>
      <c r="V88" s="17" t="str">
        <f>IF(OR(TEXT(V$13,"ddd")="Sun",V$13="",$D88=""),"",IF('Leave Planner'!T89="",1,0))</f>
        <v/>
      </c>
      <c r="W88" s="17" t="str">
        <f>IF(OR(TEXT(W$13,"ddd")="Sun",W$13="",$D88=""),"",IF('Leave Planner'!U89="",1,0))</f>
        <v/>
      </c>
      <c r="X88" s="17" t="str">
        <f>IF(OR(TEXT(X$13,"ddd")="Sun",X$13="",$D88=""),"",IF('Leave Planner'!V89="",1,0))</f>
        <v/>
      </c>
      <c r="Y88" s="17" t="str">
        <f>IF(OR(TEXT(Y$13,"ddd")="Sun",Y$13="",$D88=""),"",IF('Leave Planner'!W89="",1,0))</f>
        <v/>
      </c>
      <c r="Z88" s="17" t="str">
        <f>IF(OR(TEXT(Z$13,"ddd")="Sun",Z$13="",$D88=""),"",IF('Leave Planner'!X89="",1,0))</f>
        <v/>
      </c>
      <c r="AA88" s="17" t="str">
        <f>IF(OR(TEXT(AA$13,"ddd")="Sun",AA$13="",$D88=""),"",IF('Leave Planner'!Y89="",1,0))</f>
        <v/>
      </c>
      <c r="AB88" s="17" t="str">
        <f>IF(OR(TEXT(AB$13,"ddd")="Sun",AB$13="",$D88=""),"",IF('Leave Planner'!Z89="",1,0))</f>
        <v/>
      </c>
      <c r="AC88" s="17" t="str">
        <f>IF(OR(TEXT(AC$13,"ddd")="Sun",AC$13="",$D88=""),"",IF('Leave Planner'!AA89="",1,0))</f>
        <v/>
      </c>
      <c r="AD88" s="17" t="str">
        <f>IF(OR(TEXT(AD$13,"ddd")="Sun",AD$13="",$D88=""),"",IF('Leave Planner'!AB89="",1,0))</f>
        <v/>
      </c>
      <c r="AE88" s="17" t="str">
        <f>IF(OR(TEXT(AE$13,"ddd")="Sun",AE$13="",$D88=""),"",IF('Leave Planner'!AC89="",1,0))</f>
        <v/>
      </c>
      <c r="AF88" s="17" t="str">
        <f>IF(OR(TEXT(AF$13,"ddd")="Sun",AF$13="",$D88=""),"",IF('Leave Planner'!AD89="",1,0))</f>
        <v/>
      </c>
      <c r="AG88" s="17" t="str">
        <f>IF(OR(TEXT(AG$13,"ddd")="Sun",AG$13="",$D88=""),"",IF('Leave Planner'!AE89="",1,0))</f>
        <v/>
      </c>
      <c r="AH88" s="17" t="str">
        <f>IF(OR(TEXT(AH$13,"ddd")="Sun",AH$13="",$D88=""),"",IF('Leave Planner'!AF89="",1,0))</f>
        <v/>
      </c>
      <c r="AI88" s="17" t="str">
        <f>IF(OR(TEXT(AI$13,"ddd")="Sun",AI$13="",$D88=""),"",IF('Leave Planner'!AG89="",1,0))</f>
        <v/>
      </c>
      <c r="AJ88" s="17" t="str">
        <f>IF(OR(TEXT(AJ$13,"ddd")="Sun",AJ$13="",$D88=""),"",IF('Leave Planner'!AH89="",1,0))</f>
        <v/>
      </c>
    </row>
    <row r="89" spans="2:36" x14ac:dyDescent="0.75">
      <c r="B89" s="15"/>
      <c r="C89" s="22"/>
      <c r="D89" s="22"/>
      <c r="E89" s="42" t="str">
        <f t="shared" si="6"/>
        <v/>
      </c>
      <c r="F89" s="17" t="str">
        <f>IF(OR(TEXT(F$13,"ddd")="Sun",F$13="",$D89=""),"",IF('Leave Planner'!D90="",1,0))</f>
        <v/>
      </c>
      <c r="G89" s="17" t="str">
        <f>IF(OR(TEXT(G$13,"ddd")="Sun",G$13="",$D89=""),"",IF('Leave Planner'!E90="",1,0))</f>
        <v/>
      </c>
      <c r="H89" s="17" t="str">
        <f>IF(OR(TEXT(H$13,"ddd")="Sun",H$13="",$D89=""),"",IF('Leave Planner'!F90="",1,0))</f>
        <v/>
      </c>
      <c r="I89" s="17" t="str">
        <f>IF(OR(TEXT(I$13,"ddd")="Sun",I$13="",$D89=""),"",IF('Leave Planner'!G90="",1,0))</f>
        <v/>
      </c>
      <c r="J89" s="17" t="str">
        <f>IF(OR(TEXT(J$13,"ddd")="Sun",J$13="",$D89=""),"",IF('Leave Planner'!H90="",1,0))</f>
        <v/>
      </c>
      <c r="K89" s="17" t="str">
        <f>IF(OR(TEXT(K$13,"ddd")="Sun",K$13="",$D89=""),"",IF('Leave Planner'!I90="",1,0))</f>
        <v/>
      </c>
      <c r="L89" s="17" t="str">
        <f>IF(OR(TEXT(L$13,"ddd")="Sun",L$13="",$D89=""),"",IF('Leave Planner'!J90="",1,0))</f>
        <v/>
      </c>
      <c r="M89" s="17" t="str">
        <f>IF(OR(TEXT(M$13,"ddd")="Sun",M$13="",$D89=""),"",IF('Leave Planner'!K90="",1,0))</f>
        <v/>
      </c>
      <c r="N89" s="17" t="str">
        <f>IF(OR(TEXT(N$13,"ddd")="Sun",N$13="",$D89=""),"",IF('Leave Planner'!L90="",1,0))</f>
        <v/>
      </c>
      <c r="O89" s="17" t="str">
        <f>IF(OR(TEXT(O$13,"ddd")="Sun",O$13="",$D89=""),"",IF('Leave Planner'!M90="",1,0))</f>
        <v/>
      </c>
      <c r="P89" s="17" t="str">
        <f>IF(OR(TEXT(P$13,"ddd")="Sun",P$13="",$D89=""),"",IF('Leave Planner'!N90="",1,0))</f>
        <v/>
      </c>
      <c r="Q89" s="17" t="str">
        <f>IF(OR(TEXT(Q$13,"ddd")="Sun",Q$13="",$D89=""),"",IF('Leave Planner'!O90="",1,0))</f>
        <v/>
      </c>
      <c r="R89" s="17" t="str">
        <f>IF(OR(TEXT(R$13,"ddd")="Sun",R$13="",$D89=""),"",IF('Leave Planner'!P90="",1,0))</f>
        <v/>
      </c>
      <c r="S89" s="17" t="str">
        <f>IF(OR(TEXT(S$13,"ddd")="Sun",S$13="",$D89=""),"",IF('Leave Planner'!Q90="",1,0))</f>
        <v/>
      </c>
      <c r="T89" s="17" t="str">
        <f>IF(OR(TEXT(T$13,"ddd")="Sun",T$13="",$D89=""),"",IF('Leave Planner'!R90="",1,0))</f>
        <v/>
      </c>
      <c r="U89" s="17" t="str">
        <f>IF(OR(TEXT(U$13,"ddd")="Sun",U$13="",$D89=""),"",IF('Leave Planner'!S90="",1,0))</f>
        <v/>
      </c>
      <c r="V89" s="17" t="str">
        <f>IF(OR(TEXT(V$13,"ddd")="Sun",V$13="",$D89=""),"",IF('Leave Planner'!T90="",1,0))</f>
        <v/>
      </c>
      <c r="W89" s="17" t="str">
        <f>IF(OR(TEXT(W$13,"ddd")="Sun",W$13="",$D89=""),"",IF('Leave Planner'!U90="",1,0))</f>
        <v/>
      </c>
      <c r="X89" s="17" t="str">
        <f>IF(OR(TEXT(X$13,"ddd")="Sun",X$13="",$D89=""),"",IF('Leave Planner'!V90="",1,0))</f>
        <v/>
      </c>
      <c r="Y89" s="17" t="str">
        <f>IF(OR(TEXT(Y$13,"ddd")="Sun",Y$13="",$D89=""),"",IF('Leave Planner'!W90="",1,0))</f>
        <v/>
      </c>
      <c r="Z89" s="17" t="str">
        <f>IF(OR(TEXT(Z$13,"ddd")="Sun",Z$13="",$D89=""),"",IF('Leave Planner'!X90="",1,0))</f>
        <v/>
      </c>
      <c r="AA89" s="17" t="str">
        <f>IF(OR(TEXT(AA$13,"ddd")="Sun",AA$13="",$D89=""),"",IF('Leave Planner'!Y90="",1,0))</f>
        <v/>
      </c>
      <c r="AB89" s="17" t="str">
        <f>IF(OR(TEXT(AB$13,"ddd")="Sun",AB$13="",$D89=""),"",IF('Leave Planner'!Z90="",1,0))</f>
        <v/>
      </c>
      <c r="AC89" s="17" t="str">
        <f>IF(OR(TEXT(AC$13,"ddd")="Sun",AC$13="",$D89=""),"",IF('Leave Planner'!AA90="",1,0))</f>
        <v/>
      </c>
      <c r="AD89" s="17" t="str">
        <f>IF(OR(TEXT(AD$13,"ddd")="Sun",AD$13="",$D89=""),"",IF('Leave Planner'!AB90="",1,0))</f>
        <v/>
      </c>
      <c r="AE89" s="17" t="str">
        <f>IF(OR(TEXT(AE$13,"ddd")="Sun",AE$13="",$D89=""),"",IF('Leave Planner'!AC90="",1,0))</f>
        <v/>
      </c>
      <c r="AF89" s="17" t="str">
        <f>IF(OR(TEXT(AF$13,"ddd")="Sun",AF$13="",$D89=""),"",IF('Leave Planner'!AD90="",1,0))</f>
        <v/>
      </c>
      <c r="AG89" s="17" t="str">
        <f>IF(OR(TEXT(AG$13,"ddd")="Sun",AG$13="",$D89=""),"",IF('Leave Planner'!AE90="",1,0))</f>
        <v/>
      </c>
      <c r="AH89" s="17" t="str">
        <f>IF(OR(TEXT(AH$13,"ddd")="Sun",AH$13="",$D89=""),"",IF('Leave Planner'!AF90="",1,0))</f>
        <v/>
      </c>
      <c r="AI89" s="17" t="str">
        <f>IF(OR(TEXT(AI$13,"ddd")="Sun",AI$13="",$D89=""),"",IF('Leave Planner'!AG90="",1,0))</f>
        <v/>
      </c>
      <c r="AJ89" s="17" t="str">
        <f>IF(OR(TEXT(AJ$13,"ddd")="Sun",AJ$13="",$D89=""),"",IF('Leave Planner'!AH90="",1,0))</f>
        <v/>
      </c>
    </row>
    <row r="90" spans="2:36" x14ac:dyDescent="0.75">
      <c r="B90" s="15"/>
      <c r="C90" s="22"/>
      <c r="D90" s="22"/>
      <c r="E90" s="42" t="str">
        <f t="shared" si="6"/>
        <v/>
      </c>
      <c r="F90" s="17" t="str">
        <f>IF(OR(TEXT(F$13,"ddd")="Sun",F$13="",$D90=""),"",IF('Leave Planner'!D91="",1,0))</f>
        <v/>
      </c>
      <c r="G90" s="17" t="str">
        <f>IF(OR(TEXT(G$13,"ddd")="Sun",G$13="",$D90=""),"",IF('Leave Planner'!E91="",1,0))</f>
        <v/>
      </c>
      <c r="H90" s="17" t="str">
        <f>IF(OR(TEXT(H$13,"ddd")="Sun",H$13="",$D90=""),"",IF('Leave Planner'!F91="",1,0))</f>
        <v/>
      </c>
      <c r="I90" s="17" t="str">
        <f>IF(OR(TEXT(I$13,"ddd")="Sun",I$13="",$D90=""),"",IF('Leave Planner'!G91="",1,0))</f>
        <v/>
      </c>
      <c r="J90" s="17" t="str">
        <f>IF(OR(TEXT(J$13,"ddd")="Sun",J$13="",$D90=""),"",IF('Leave Planner'!H91="",1,0))</f>
        <v/>
      </c>
      <c r="K90" s="17" t="str">
        <f>IF(OR(TEXT(K$13,"ddd")="Sun",K$13="",$D90=""),"",IF('Leave Planner'!I91="",1,0))</f>
        <v/>
      </c>
      <c r="L90" s="17" t="str">
        <f>IF(OR(TEXT(L$13,"ddd")="Sun",L$13="",$D90=""),"",IF('Leave Planner'!J91="",1,0))</f>
        <v/>
      </c>
      <c r="M90" s="17" t="str">
        <f>IF(OR(TEXT(M$13,"ddd")="Sun",M$13="",$D90=""),"",IF('Leave Planner'!K91="",1,0))</f>
        <v/>
      </c>
      <c r="N90" s="17" t="str">
        <f>IF(OR(TEXT(N$13,"ddd")="Sun",N$13="",$D90=""),"",IF('Leave Planner'!L91="",1,0))</f>
        <v/>
      </c>
      <c r="O90" s="17" t="str">
        <f>IF(OR(TEXT(O$13,"ddd")="Sun",O$13="",$D90=""),"",IF('Leave Planner'!M91="",1,0))</f>
        <v/>
      </c>
      <c r="P90" s="17" t="str">
        <f>IF(OR(TEXT(P$13,"ddd")="Sun",P$13="",$D90=""),"",IF('Leave Planner'!N91="",1,0))</f>
        <v/>
      </c>
      <c r="Q90" s="17" t="str">
        <f>IF(OR(TEXT(Q$13,"ddd")="Sun",Q$13="",$D90=""),"",IF('Leave Planner'!O91="",1,0))</f>
        <v/>
      </c>
      <c r="R90" s="17" t="str">
        <f>IF(OR(TEXT(R$13,"ddd")="Sun",R$13="",$D90=""),"",IF('Leave Planner'!P91="",1,0))</f>
        <v/>
      </c>
      <c r="S90" s="17" t="str">
        <f>IF(OR(TEXT(S$13,"ddd")="Sun",S$13="",$D90=""),"",IF('Leave Planner'!Q91="",1,0))</f>
        <v/>
      </c>
      <c r="T90" s="17" t="str">
        <f>IF(OR(TEXT(T$13,"ddd")="Sun",T$13="",$D90=""),"",IF('Leave Planner'!R91="",1,0))</f>
        <v/>
      </c>
      <c r="U90" s="17" t="str">
        <f>IF(OR(TEXT(U$13,"ddd")="Sun",U$13="",$D90=""),"",IF('Leave Planner'!S91="",1,0))</f>
        <v/>
      </c>
      <c r="V90" s="17" t="str">
        <f>IF(OR(TEXT(V$13,"ddd")="Sun",V$13="",$D90=""),"",IF('Leave Planner'!T91="",1,0))</f>
        <v/>
      </c>
      <c r="W90" s="17" t="str">
        <f>IF(OR(TEXT(W$13,"ddd")="Sun",W$13="",$D90=""),"",IF('Leave Planner'!U91="",1,0))</f>
        <v/>
      </c>
      <c r="X90" s="17" t="str">
        <f>IF(OR(TEXT(X$13,"ddd")="Sun",X$13="",$D90=""),"",IF('Leave Planner'!V91="",1,0))</f>
        <v/>
      </c>
      <c r="Y90" s="17" t="str">
        <f>IF(OR(TEXT(Y$13,"ddd")="Sun",Y$13="",$D90=""),"",IF('Leave Planner'!W91="",1,0))</f>
        <v/>
      </c>
      <c r="Z90" s="17" t="str">
        <f>IF(OR(TEXT(Z$13,"ddd")="Sun",Z$13="",$D90=""),"",IF('Leave Planner'!X91="",1,0))</f>
        <v/>
      </c>
      <c r="AA90" s="17" t="str">
        <f>IF(OR(TEXT(AA$13,"ddd")="Sun",AA$13="",$D90=""),"",IF('Leave Planner'!Y91="",1,0))</f>
        <v/>
      </c>
      <c r="AB90" s="17" t="str">
        <f>IF(OR(TEXT(AB$13,"ddd")="Sun",AB$13="",$D90=""),"",IF('Leave Planner'!Z91="",1,0))</f>
        <v/>
      </c>
      <c r="AC90" s="17" t="str">
        <f>IF(OR(TEXT(AC$13,"ddd")="Sun",AC$13="",$D90=""),"",IF('Leave Planner'!AA91="",1,0))</f>
        <v/>
      </c>
      <c r="AD90" s="17" t="str">
        <f>IF(OR(TEXT(AD$13,"ddd")="Sun",AD$13="",$D90=""),"",IF('Leave Planner'!AB91="",1,0))</f>
        <v/>
      </c>
      <c r="AE90" s="17" t="str">
        <f>IF(OR(TEXT(AE$13,"ddd")="Sun",AE$13="",$D90=""),"",IF('Leave Planner'!AC91="",1,0))</f>
        <v/>
      </c>
      <c r="AF90" s="17" t="str">
        <f>IF(OR(TEXT(AF$13,"ddd")="Sun",AF$13="",$D90=""),"",IF('Leave Planner'!AD91="",1,0))</f>
        <v/>
      </c>
      <c r="AG90" s="17" t="str">
        <f>IF(OR(TEXT(AG$13,"ddd")="Sun",AG$13="",$D90=""),"",IF('Leave Planner'!AE91="",1,0))</f>
        <v/>
      </c>
      <c r="AH90" s="17" t="str">
        <f>IF(OR(TEXT(AH$13,"ddd")="Sun",AH$13="",$D90=""),"",IF('Leave Planner'!AF91="",1,0))</f>
        <v/>
      </c>
      <c r="AI90" s="17" t="str">
        <f>IF(OR(TEXT(AI$13,"ddd")="Sun",AI$13="",$D90=""),"",IF('Leave Planner'!AG91="",1,0))</f>
        <v/>
      </c>
      <c r="AJ90" s="17" t="str">
        <f>IF(OR(TEXT(AJ$13,"ddd")="Sun",AJ$13="",$D90=""),"",IF('Leave Planner'!AH91="",1,0))</f>
        <v/>
      </c>
    </row>
    <row r="91" spans="2:36" x14ac:dyDescent="0.75">
      <c r="B91" s="15"/>
      <c r="C91" s="22"/>
      <c r="D91" s="22"/>
      <c r="E91" s="42" t="str">
        <f t="shared" si="6"/>
        <v/>
      </c>
      <c r="F91" s="17" t="str">
        <f>IF(OR(TEXT(F$13,"ddd")="Sun",F$13="",$D91=""),"",IF('Leave Planner'!D92="",1,0))</f>
        <v/>
      </c>
      <c r="G91" s="17" t="str">
        <f>IF(OR(TEXT(G$13,"ddd")="Sun",G$13="",$D91=""),"",IF('Leave Planner'!E92="",1,0))</f>
        <v/>
      </c>
      <c r="H91" s="17" t="str">
        <f>IF(OR(TEXT(H$13,"ddd")="Sun",H$13="",$D91=""),"",IF('Leave Planner'!F92="",1,0))</f>
        <v/>
      </c>
      <c r="I91" s="17" t="str">
        <f>IF(OR(TEXT(I$13,"ddd")="Sun",I$13="",$D91=""),"",IF('Leave Planner'!G92="",1,0))</f>
        <v/>
      </c>
      <c r="J91" s="17" t="str">
        <f>IF(OR(TEXT(J$13,"ddd")="Sun",J$13="",$D91=""),"",IF('Leave Planner'!H92="",1,0))</f>
        <v/>
      </c>
      <c r="K91" s="17" t="str">
        <f>IF(OR(TEXT(K$13,"ddd")="Sun",K$13="",$D91=""),"",IF('Leave Planner'!I92="",1,0))</f>
        <v/>
      </c>
      <c r="L91" s="17" t="str">
        <f>IF(OR(TEXT(L$13,"ddd")="Sun",L$13="",$D91=""),"",IF('Leave Planner'!J92="",1,0))</f>
        <v/>
      </c>
      <c r="M91" s="17" t="str">
        <f>IF(OR(TEXT(M$13,"ddd")="Sun",M$13="",$D91=""),"",IF('Leave Planner'!K92="",1,0))</f>
        <v/>
      </c>
      <c r="N91" s="17" t="str">
        <f>IF(OR(TEXT(N$13,"ddd")="Sun",N$13="",$D91=""),"",IF('Leave Planner'!L92="",1,0))</f>
        <v/>
      </c>
      <c r="O91" s="17" t="str">
        <f>IF(OR(TEXT(O$13,"ddd")="Sun",O$13="",$D91=""),"",IF('Leave Planner'!M92="",1,0))</f>
        <v/>
      </c>
      <c r="P91" s="17" t="str">
        <f>IF(OR(TEXT(P$13,"ddd")="Sun",P$13="",$D91=""),"",IF('Leave Planner'!N92="",1,0))</f>
        <v/>
      </c>
      <c r="Q91" s="17" t="str">
        <f>IF(OR(TEXT(Q$13,"ddd")="Sun",Q$13="",$D91=""),"",IF('Leave Planner'!O92="",1,0))</f>
        <v/>
      </c>
      <c r="R91" s="17" t="str">
        <f>IF(OR(TEXT(R$13,"ddd")="Sun",R$13="",$D91=""),"",IF('Leave Planner'!P92="",1,0))</f>
        <v/>
      </c>
      <c r="S91" s="17" t="str">
        <f>IF(OR(TEXT(S$13,"ddd")="Sun",S$13="",$D91=""),"",IF('Leave Planner'!Q92="",1,0))</f>
        <v/>
      </c>
      <c r="T91" s="17" t="str">
        <f>IF(OR(TEXT(T$13,"ddd")="Sun",T$13="",$D91=""),"",IF('Leave Planner'!R92="",1,0))</f>
        <v/>
      </c>
      <c r="U91" s="17" t="str">
        <f>IF(OR(TEXT(U$13,"ddd")="Sun",U$13="",$D91=""),"",IF('Leave Planner'!S92="",1,0))</f>
        <v/>
      </c>
      <c r="V91" s="17" t="str">
        <f>IF(OR(TEXT(V$13,"ddd")="Sun",V$13="",$D91=""),"",IF('Leave Planner'!T92="",1,0))</f>
        <v/>
      </c>
      <c r="W91" s="17" t="str">
        <f>IF(OR(TEXT(W$13,"ddd")="Sun",W$13="",$D91=""),"",IF('Leave Planner'!U92="",1,0))</f>
        <v/>
      </c>
      <c r="X91" s="17" t="str">
        <f>IF(OR(TEXT(X$13,"ddd")="Sun",X$13="",$D91=""),"",IF('Leave Planner'!V92="",1,0))</f>
        <v/>
      </c>
      <c r="Y91" s="17" t="str">
        <f>IF(OR(TEXT(Y$13,"ddd")="Sun",Y$13="",$D91=""),"",IF('Leave Planner'!W92="",1,0))</f>
        <v/>
      </c>
      <c r="Z91" s="17" t="str">
        <f>IF(OR(TEXT(Z$13,"ddd")="Sun",Z$13="",$D91=""),"",IF('Leave Planner'!X92="",1,0))</f>
        <v/>
      </c>
      <c r="AA91" s="17" t="str">
        <f>IF(OR(TEXT(AA$13,"ddd")="Sun",AA$13="",$D91=""),"",IF('Leave Planner'!Y92="",1,0))</f>
        <v/>
      </c>
      <c r="AB91" s="17" t="str">
        <f>IF(OR(TEXT(AB$13,"ddd")="Sun",AB$13="",$D91=""),"",IF('Leave Planner'!Z92="",1,0))</f>
        <v/>
      </c>
      <c r="AC91" s="17" t="str">
        <f>IF(OR(TEXT(AC$13,"ddd")="Sun",AC$13="",$D91=""),"",IF('Leave Planner'!AA92="",1,0))</f>
        <v/>
      </c>
      <c r="AD91" s="17" t="str">
        <f>IF(OR(TEXT(AD$13,"ddd")="Sun",AD$13="",$D91=""),"",IF('Leave Planner'!AB92="",1,0))</f>
        <v/>
      </c>
      <c r="AE91" s="17" t="str">
        <f>IF(OR(TEXT(AE$13,"ddd")="Sun",AE$13="",$D91=""),"",IF('Leave Planner'!AC92="",1,0))</f>
        <v/>
      </c>
      <c r="AF91" s="17" t="str">
        <f>IF(OR(TEXT(AF$13,"ddd")="Sun",AF$13="",$D91=""),"",IF('Leave Planner'!AD92="",1,0))</f>
        <v/>
      </c>
      <c r="AG91" s="17" t="str">
        <f>IF(OR(TEXT(AG$13,"ddd")="Sun",AG$13="",$D91=""),"",IF('Leave Planner'!AE92="",1,0))</f>
        <v/>
      </c>
      <c r="AH91" s="17" t="str">
        <f>IF(OR(TEXT(AH$13,"ddd")="Sun",AH$13="",$D91=""),"",IF('Leave Planner'!AF92="",1,0))</f>
        <v/>
      </c>
      <c r="AI91" s="17" t="str">
        <f>IF(OR(TEXT(AI$13,"ddd")="Sun",AI$13="",$D91=""),"",IF('Leave Planner'!AG92="",1,0))</f>
        <v/>
      </c>
      <c r="AJ91" s="17" t="str">
        <f>IF(OR(TEXT(AJ$13,"ddd")="Sun",AJ$13="",$D91=""),"",IF('Leave Planner'!AH92="",1,0))</f>
        <v/>
      </c>
    </row>
    <row r="92" spans="2:36" x14ac:dyDescent="0.75">
      <c r="B92" s="15"/>
      <c r="C92" s="22"/>
      <c r="D92" s="22"/>
      <c r="E92" s="42" t="str">
        <f t="shared" si="6"/>
        <v/>
      </c>
      <c r="F92" s="17" t="str">
        <f>IF(OR(TEXT(F$13,"ddd")="Sun",F$13="",$D92=""),"",IF('Leave Planner'!D93="",1,0))</f>
        <v/>
      </c>
      <c r="G92" s="17" t="str">
        <f>IF(OR(TEXT(G$13,"ddd")="Sun",G$13="",$D92=""),"",IF('Leave Planner'!E93="",1,0))</f>
        <v/>
      </c>
      <c r="H92" s="17" t="str">
        <f>IF(OR(TEXT(H$13,"ddd")="Sun",H$13="",$D92=""),"",IF('Leave Planner'!F93="",1,0))</f>
        <v/>
      </c>
      <c r="I92" s="17" t="str">
        <f>IF(OR(TEXT(I$13,"ddd")="Sun",I$13="",$D92=""),"",IF('Leave Planner'!G93="",1,0))</f>
        <v/>
      </c>
      <c r="J92" s="17" t="str">
        <f>IF(OR(TEXT(J$13,"ddd")="Sun",J$13="",$D92=""),"",IF('Leave Planner'!H93="",1,0))</f>
        <v/>
      </c>
      <c r="K92" s="17" t="str">
        <f>IF(OR(TEXT(K$13,"ddd")="Sun",K$13="",$D92=""),"",IF('Leave Planner'!I93="",1,0))</f>
        <v/>
      </c>
      <c r="L92" s="17" t="str">
        <f>IF(OR(TEXT(L$13,"ddd")="Sun",L$13="",$D92=""),"",IF('Leave Planner'!J93="",1,0))</f>
        <v/>
      </c>
      <c r="M92" s="17" t="str">
        <f>IF(OR(TEXT(M$13,"ddd")="Sun",M$13="",$D92=""),"",IF('Leave Planner'!K93="",1,0))</f>
        <v/>
      </c>
      <c r="N92" s="17" t="str">
        <f>IF(OR(TEXT(N$13,"ddd")="Sun",N$13="",$D92=""),"",IF('Leave Planner'!L93="",1,0))</f>
        <v/>
      </c>
      <c r="O92" s="17" t="str">
        <f>IF(OR(TEXT(O$13,"ddd")="Sun",O$13="",$D92=""),"",IF('Leave Planner'!M93="",1,0))</f>
        <v/>
      </c>
      <c r="P92" s="17" t="str">
        <f>IF(OR(TEXT(P$13,"ddd")="Sun",P$13="",$D92=""),"",IF('Leave Planner'!N93="",1,0))</f>
        <v/>
      </c>
      <c r="Q92" s="17" t="str">
        <f>IF(OR(TEXT(Q$13,"ddd")="Sun",Q$13="",$D92=""),"",IF('Leave Planner'!O93="",1,0))</f>
        <v/>
      </c>
      <c r="R92" s="17" t="str">
        <f>IF(OR(TEXT(R$13,"ddd")="Sun",R$13="",$D92=""),"",IF('Leave Planner'!P93="",1,0))</f>
        <v/>
      </c>
      <c r="S92" s="17" t="str">
        <f>IF(OR(TEXT(S$13,"ddd")="Sun",S$13="",$D92=""),"",IF('Leave Planner'!Q93="",1,0))</f>
        <v/>
      </c>
      <c r="T92" s="17" t="str">
        <f>IF(OR(TEXT(T$13,"ddd")="Sun",T$13="",$D92=""),"",IF('Leave Planner'!R93="",1,0))</f>
        <v/>
      </c>
      <c r="U92" s="17" t="str">
        <f>IF(OR(TEXT(U$13,"ddd")="Sun",U$13="",$D92=""),"",IF('Leave Planner'!S93="",1,0))</f>
        <v/>
      </c>
      <c r="V92" s="17" t="str">
        <f>IF(OR(TEXT(V$13,"ddd")="Sun",V$13="",$D92=""),"",IF('Leave Planner'!T93="",1,0))</f>
        <v/>
      </c>
      <c r="W92" s="17" t="str">
        <f>IF(OR(TEXT(W$13,"ddd")="Sun",W$13="",$D92=""),"",IF('Leave Planner'!U93="",1,0))</f>
        <v/>
      </c>
      <c r="X92" s="17" t="str">
        <f>IF(OR(TEXT(X$13,"ddd")="Sun",X$13="",$D92=""),"",IF('Leave Planner'!V93="",1,0))</f>
        <v/>
      </c>
      <c r="Y92" s="17" t="str">
        <f>IF(OR(TEXT(Y$13,"ddd")="Sun",Y$13="",$D92=""),"",IF('Leave Planner'!W93="",1,0))</f>
        <v/>
      </c>
      <c r="Z92" s="17" t="str">
        <f>IF(OR(TEXT(Z$13,"ddd")="Sun",Z$13="",$D92=""),"",IF('Leave Planner'!X93="",1,0))</f>
        <v/>
      </c>
      <c r="AA92" s="17" t="str">
        <f>IF(OR(TEXT(AA$13,"ddd")="Sun",AA$13="",$D92=""),"",IF('Leave Planner'!Y93="",1,0))</f>
        <v/>
      </c>
      <c r="AB92" s="17" t="str">
        <f>IF(OR(TEXT(AB$13,"ddd")="Sun",AB$13="",$D92=""),"",IF('Leave Planner'!Z93="",1,0))</f>
        <v/>
      </c>
      <c r="AC92" s="17" t="str">
        <f>IF(OR(TEXT(AC$13,"ddd")="Sun",AC$13="",$D92=""),"",IF('Leave Planner'!AA93="",1,0))</f>
        <v/>
      </c>
      <c r="AD92" s="17" t="str">
        <f>IF(OR(TEXT(AD$13,"ddd")="Sun",AD$13="",$D92=""),"",IF('Leave Planner'!AB93="",1,0))</f>
        <v/>
      </c>
      <c r="AE92" s="17" t="str">
        <f>IF(OR(TEXT(AE$13,"ddd")="Sun",AE$13="",$D92=""),"",IF('Leave Planner'!AC93="",1,0))</f>
        <v/>
      </c>
      <c r="AF92" s="17" t="str">
        <f>IF(OR(TEXT(AF$13,"ddd")="Sun",AF$13="",$D92=""),"",IF('Leave Planner'!AD93="",1,0))</f>
        <v/>
      </c>
      <c r="AG92" s="17" t="str">
        <f>IF(OR(TEXT(AG$13,"ddd")="Sun",AG$13="",$D92=""),"",IF('Leave Planner'!AE93="",1,0))</f>
        <v/>
      </c>
      <c r="AH92" s="17" t="str">
        <f>IF(OR(TEXT(AH$13,"ddd")="Sun",AH$13="",$D92=""),"",IF('Leave Planner'!AF93="",1,0))</f>
        <v/>
      </c>
      <c r="AI92" s="17" t="str">
        <f>IF(OR(TEXT(AI$13,"ddd")="Sun",AI$13="",$D92=""),"",IF('Leave Planner'!AG93="",1,0))</f>
        <v/>
      </c>
      <c r="AJ92" s="17" t="str">
        <f>IF(OR(TEXT(AJ$13,"ddd")="Sun",AJ$13="",$D92=""),"",IF('Leave Planner'!AH93="",1,0))</f>
        <v/>
      </c>
    </row>
    <row r="93" spans="2:36" x14ac:dyDescent="0.75">
      <c r="B93" s="15"/>
      <c r="C93" s="22"/>
      <c r="D93" s="22"/>
      <c r="E93" s="42" t="str">
        <f t="shared" si="6"/>
        <v/>
      </c>
      <c r="F93" s="17" t="str">
        <f>IF(OR(TEXT(F$13,"ddd")="Sun",F$13="",$D93=""),"",IF('Leave Planner'!D94="",1,0))</f>
        <v/>
      </c>
      <c r="G93" s="17" t="str">
        <f>IF(OR(TEXT(G$13,"ddd")="Sun",G$13="",$D93=""),"",IF('Leave Planner'!E94="",1,0))</f>
        <v/>
      </c>
      <c r="H93" s="17" t="str">
        <f>IF(OR(TEXT(H$13,"ddd")="Sun",H$13="",$D93=""),"",IF('Leave Planner'!F94="",1,0))</f>
        <v/>
      </c>
      <c r="I93" s="17" t="str">
        <f>IF(OR(TEXT(I$13,"ddd")="Sun",I$13="",$D93=""),"",IF('Leave Planner'!G94="",1,0))</f>
        <v/>
      </c>
      <c r="J93" s="17" t="str">
        <f>IF(OR(TEXT(J$13,"ddd")="Sun",J$13="",$D93=""),"",IF('Leave Planner'!H94="",1,0))</f>
        <v/>
      </c>
      <c r="K93" s="17" t="str">
        <f>IF(OR(TEXT(K$13,"ddd")="Sun",K$13="",$D93=""),"",IF('Leave Planner'!I94="",1,0))</f>
        <v/>
      </c>
      <c r="L93" s="17" t="str">
        <f>IF(OR(TEXT(L$13,"ddd")="Sun",L$13="",$D93=""),"",IF('Leave Planner'!J94="",1,0))</f>
        <v/>
      </c>
      <c r="M93" s="17" t="str">
        <f>IF(OR(TEXT(M$13,"ddd")="Sun",M$13="",$D93=""),"",IF('Leave Planner'!K94="",1,0))</f>
        <v/>
      </c>
      <c r="N93" s="17" t="str">
        <f>IF(OR(TEXT(N$13,"ddd")="Sun",N$13="",$D93=""),"",IF('Leave Planner'!L94="",1,0))</f>
        <v/>
      </c>
      <c r="O93" s="17" t="str">
        <f>IF(OR(TEXT(O$13,"ddd")="Sun",O$13="",$D93=""),"",IF('Leave Planner'!M94="",1,0))</f>
        <v/>
      </c>
      <c r="P93" s="17" t="str">
        <f>IF(OR(TEXT(P$13,"ddd")="Sun",P$13="",$D93=""),"",IF('Leave Planner'!N94="",1,0))</f>
        <v/>
      </c>
      <c r="Q93" s="17" t="str">
        <f>IF(OR(TEXT(Q$13,"ddd")="Sun",Q$13="",$D93=""),"",IF('Leave Planner'!O94="",1,0))</f>
        <v/>
      </c>
      <c r="R93" s="17" t="str">
        <f>IF(OR(TEXT(R$13,"ddd")="Sun",R$13="",$D93=""),"",IF('Leave Planner'!P94="",1,0))</f>
        <v/>
      </c>
      <c r="S93" s="17" t="str">
        <f>IF(OR(TEXT(S$13,"ddd")="Sun",S$13="",$D93=""),"",IF('Leave Planner'!Q94="",1,0))</f>
        <v/>
      </c>
      <c r="T93" s="17" t="str">
        <f>IF(OR(TEXT(T$13,"ddd")="Sun",T$13="",$D93=""),"",IF('Leave Planner'!R94="",1,0))</f>
        <v/>
      </c>
      <c r="U93" s="17" t="str">
        <f>IF(OR(TEXT(U$13,"ddd")="Sun",U$13="",$D93=""),"",IF('Leave Planner'!S94="",1,0))</f>
        <v/>
      </c>
      <c r="V93" s="17" t="str">
        <f>IF(OR(TEXT(V$13,"ddd")="Sun",V$13="",$D93=""),"",IF('Leave Planner'!T94="",1,0))</f>
        <v/>
      </c>
      <c r="W93" s="17" t="str">
        <f>IF(OR(TEXT(W$13,"ddd")="Sun",W$13="",$D93=""),"",IF('Leave Planner'!U94="",1,0))</f>
        <v/>
      </c>
      <c r="X93" s="17" t="str">
        <f>IF(OR(TEXT(X$13,"ddd")="Sun",X$13="",$D93=""),"",IF('Leave Planner'!V94="",1,0))</f>
        <v/>
      </c>
      <c r="Y93" s="17" t="str">
        <f>IF(OR(TEXT(Y$13,"ddd")="Sun",Y$13="",$D93=""),"",IF('Leave Planner'!W94="",1,0))</f>
        <v/>
      </c>
      <c r="Z93" s="17" t="str">
        <f>IF(OR(TEXT(Z$13,"ddd")="Sun",Z$13="",$D93=""),"",IF('Leave Planner'!X94="",1,0))</f>
        <v/>
      </c>
      <c r="AA93" s="17" t="str">
        <f>IF(OR(TEXT(AA$13,"ddd")="Sun",AA$13="",$D93=""),"",IF('Leave Planner'!Y94="",1,0))</f>
        <v/>
      </c>
      <c r="AB93" s="17" t="str">
        <f>IF(OR(TEXT(AB$13,"ddd")="Sun",AB$13="",$D93=""),"",IF('Leave Planner'!Z94="",1,0))</f>
        <v/>
      </c>
      <c r="AC93" s="17" t="str">
        <f>IF(OR(TEXT(AC$13,"ddd")="Sun",AC$13="",$D93=""),"",IF('Leave Planner'!AA94="",1,0))</f>
        <v/>
      </c>
      <c r="AD93" s="17" t="str">
        <f>IF(OR(TEXT(AD$13,"ddd")="Sun",AD$13="",$D93=""),"",IF('Leave Planner'!AB94="",1,0))</f>
        <v/>
      </c>
      <c r="AE93" s="17" t="str">
        <f>IF(OR(TEXT(AE$13,"ddd")="Sun",AE$13="",$D93=""),"",IF('Leave Planner'!AC94="",1,0))</f>
        <v/>
      </c>
      <c r="AF93" s="17" t="str">
        <f>IF(OR(TEXT(AF$13,"ddd")="Sun",AF$13="",$D93=""),"",IF('Leave Planner'!AD94="",1,0))</f>
        <v/>
      </c>
      <c r="AG93" s="17" t="str">
        <f>IF(OR(TEXT(AG$13,"ddd")="Sun",AG$13="",$D93=""),"",IF('Leave Planner'!AE94="",1,0))</f>
        <v/>
      </c>
      <c r="AH93" s="17" t="str">
        <f>IF(OR(TEXT(AH$13,"ddd")="Sun",AH$13="",$D93=""),"",IF('Leave Planner'!AF94="",1,0))</f>
        <v/>
      </c>
      <c r="AI93" s="17" t="str">
        <f>IF(OR(TEXT(AI$13,"ddd")="Sun",AI$13="",$D93=""),"",IF('Leave Planner'!AG94="",1,0))</f>
        <v/>
      </c>
      <c r="AJ93" s="17" t="str">
        <f>IF(OR(TEXT(AJ$13,"ddd")="Sun",AJ$13="",$D93=""),"",IF('Leave Planner'!AH94="",1,0))</f>
        <v/>
      </c>
    </row>
    <row r="94" spans="2:36" x14ac:dyDescent="0.75">
      <c r="B94" s="15"/>
      <c r="C94" s="22"/>
      <c r="D94" s="22"/>
      <c r="E94" s="42" t="str">
        <f t="shared" si="6"/>
        <v/>
      </c>
      <c r="F94" s="17" t="str">
        <f>IF(OR(TEXT(F$13,"ddd")="Sun",F$13="",$D94=""),"",IF('Leave Planner'!D95="",1,0))</f>
        <v/>
      </c>
      <c r="G94" s="17" t="str">
        <f>IF(OR(TEXT(G$13,"ddd")="Sun",G$13="",$D94=""),"",IF('Leave Planner'!E95="",1,0))</f>
        <v/>
      </c>
      <c r="H94" s="17" t="str">
        <f>IF(OR(TEXT(H$13,"ddd")="Sun",H$13="",$D94=""),"",IF('Leave Planner'!F95="",1,0))</f>
        <v/>
      </c>
      <c r="I94" s="17" t="str">
        <f>IF(OR(TEXT(I$13,"ddd")="Sun",I$13="",$D94=""),"",IF('Leave Planner'!G95="",1,0))</f>
        <v/>
      </c>
      <c r="J94" s="17" t="str">
        <f>IF(OR(TEXT(J$13,"ddd")="Sun",J$13="",$D94=""),"",IF('Leave Planner'!H95="",1,0))</f>
        <v/>
      </c>
      <c r="K94" s="17" t="str">
        <f>IF(OR(TEXT(K$13,"ddd")="Sun",K$13="",$D94=""),"",IF('Leave Planner'!I95="",1,0))</f>
        <v/>
      </c>
      <c r="L94" s="17" t="str">
        <f>IF(OR(TEXT(L$13,"ddd")="Sun",L$13="",$D94=""),"",IF('Leave Planner'!J95="",1,0))</f>
        <v/>
      </c>
      <c r="M94" s="17" t="str">
        <f>IF(OR(TEXT(M$13,"ddd")="Sun",M$13="",$D94=""),"",IF('Leave Planner'!K95="",1,0))</f>
        <v/>
      </c>
      <c r="N94" s="17" t="str">
        <f>IF(OR(TEXT(N$13,"ddd")="Sun",N$13="",$D94=""),"",IF('Leave Planner'!L95="",1,0))</f>
        <v/>
      </c>
      <c r="O94" s="17" t="str">
        <f>IF(OR(TEXT(O$13,"ddd")="Sun",O$13="",$D94=""),"",IF('Leave Planner'!M95="",1,0))</f>
        <v/>
      </c>
      <c r="P94" s="17" t="str">
        <f>IF(OR(TEXT(P$13,"ddd")="Sun",P$13="",$D94=""),"",IF('Leave Planner'!N95="",1,0))</f>
        <v/>
      </c>
      <c r="Q94" s="17" t="str">
        <f>IF(OR(TEXT(Q$13,"ddd")="Sun",Q$13="",$D94=""),"",IF('Leave Planner'!O95="",1,0))</f>
        <v/>
      </c>
      <c r="R94" s="17" t="str">
        <f>IF(OR(TEXT(R$13,"ddd")="Sun",R$13="",$D94=""),"",IF('Leave Planner'!P95="",1,0))</f>
        <v/>
      </c>
      <c r="S94" s="17" t="str">
        <f>IF(OR(TEXT(S$13,"ddd")="Sun",S$13="",$D94=""),"",IF('Leave Planner'!Q95="",1,0))</f>
        <v/>
      </c>
      <c r="T94" s="17" t="str">
        <f>IF(OR(TEXT(T$13,"ddd")="Sun",T$13="",$D94=""),"",IF('Leave Planner'!R95="",1,0))</f>
        <v/>
      </c>
      <c r="U94" s="17" t="str">
        <f>IF(OR(TEXT(U$13,"ddd")="Sun",U$13="",$D94=""),"",IF('Leave Planner'!S95="",1,0))</f>
        <v/>
      </c>
      <c r="V94" s="17" t="str">
        <f>IF(OR(TEXT(V$13,"ddd")="Sun",V$13="",$D94=""),"",IF('Leave Planner'!T95="",1,0))</f>
        <v/>
      </c>
      <c r="W94" s="17" t="str">
        <f>IF(OR(TEXT(W$13,"ddd")="Sun",W$13="",$D94=""),"",IF('Leave Planner'!U95="",1,0))</f>
        <v/>
      </c>
      <c r="X94" s="17" t="str">
        <f>IF(OR(TEXT(X$13,"ddd")="Sun",X$13="",$D94=""),"",IF('Leave Planner'!V95="",1,0))</f>
        <v/>
      </c>
      <c r="Y94" s="17" t="str">
        <f>IF(OR(TEXT(Y$13,"ddd")="Sun",Y$13="",$D94=""),"",IF('Leave Planner'!W95="",1,0))</f>
        <v/>
      </c>
      <c r="Z94" s="17" t="str">
        <f>IF(OR(TEXT(Z$13,"ddd")="Sun",Z$13="",$D94=""),"",IF('Leave Planner'!X95="",1,0))</f>
        <v/>
      </c>
      <c r="AA94" s="17" t="str">
        <f>IF(OR(TEXT(AA$13,"ddd")="Sun",AA$13="",$D94=""),"",IF('Leave Planner'!Y95="",1,0))</f>
        <v/>
      </c>
      <c r="AB94" s="17" t="str">
        <f>IF(OR(TEXT(AB$13,"ddd")="Sun",AB$13="",$D94=""),"",IF('Leave Planner'!Z95="",1,0))</f>
        <v/>
      </c>
      <c r="AC94" s="17" t="str">
        <f>IF(OR(TEXT(AC$13,"ddd")="Sun",AC$13="",$D94=""),"",IF('Leave Planner'!AA95="",1,0))</f>
        <v/>
      </c>
      <c r="AD94" s="17" t="str">
        <f>IF(OR(TEXT(AD$13,"ddd")="Sun",AD$13="",$D94=""),"",IF('Leave Planner'!AB95="",1,0))</f>
        <v/>
      </c>
      <c r="AE94" s="17" t="str">
        <f>IF(OR(TEXT(AE$13,"ddd")="Sun",AE$13="",$D94=""),"",IF('Leave Planner'!AC95="",1,0))</f>
        <v/>
      </c>
      <c r="AF94" s="17" t="str">
        <f>IF(OR(TEXT(AF$13,"ddd")="Sun",AF$13="",$D94=""),"",IF('Leave Planner'!AD95="",1,0))</f>
        <v/>
      </c>
      <c r="AG94" s="17" t="str">
        <f>IF(OR(TEXT(AG$13,"ddd")="Sun",AG$13="",$D94=""),"",IF('Leave Planner'!AE95="",1,0))</f>
        <v/>
      </c>
      <c r="AH94" s="17" t="str">
        <f>IF(OR(TEXT(AH$13,"ddd")="Sun",AH$13="",$D94=""),"",IF('Leave Planner'!AF95="",1,0))</f>
        <v/>
      </c>
      <c r="AI94" s="17" t="str">
        <f>IF(OR(TEXT(AI$13,"ddd")="Sun",AI$13="",$D94=""),"",IF('Leave Planner'!AG95="",1,0))</f>
        <v/>
      </c>
      <c r="AJ94" s="17" t="str">
        <f>IF(OR(TEXT(AJ$13,"ddd")="Sun",AJ$13="",$D94=""),"",IF('Leave Planner'!AH95="",1,0))</f>
        <v/>
      </c>
    </row>
    <row r="95" spans="2:36" x14ac:dyDescent="0.75">
      <c r="B95" s="15"/>
      <c r="C95" s="22"/>
      <c r="D95" s="22"/>
      <c r="E95" s="42" t="str">
        <f t="shared" si="6"/>
        <v/>
      </c>
      <c r="F95" s="17" t="str">
        <f>IF(OR(TEXT(F$13,"ddd")="Sun",F$13="",$D95=""),"",IF('Leave Planner'!D96="",1,0))</f>
        <v/>
      </c>
      <c r="G95" s="17" t="str">
        <f>IF(OR(TEXT(G$13,"ddd")="Sun",G$13="",$D95=""),"",IF('Leave Planner'!E96="",1,0))</f>
        <v/>
      </c>
      <c r="H95" s="17" t="str">
        <f>IF(OR(TEXT(H$13,"ddd")="Sun",H$13="",$D95=""),"",IF('Leave Planner'!F96="",1,0))</f>
        <v/>
      </c>
      <c r="I95" s="17" t="str">
        <f>IF(OR(TEXT(I$13,"ddd")="Sun",I$13="",$D95=""),"",IF('Leave Planner'!G96="",1,0))</f>
        <v/>
      </c>
      <c r="J95" s="17" t="str">
        <f>IF(OR(TEXT(J$13,"ddd")="Sun",J$13="",$D95=""),"",IF('Leave Planner'!H96="",1,0))</f>
        <v/>
      </c>
      <c r="K95" s="17" t="str">
        <f>IF(OR(TEXT(K$13,"ddd")="Sun",K$13="",$D95=""),"",IF('Leave Planner'!I96="",1,0))</f>
        <v/>
      </c>
      <c r="L95" s="17" t="str">
        <f>IF(OR(TEXT(L$13,"ddd")="Sun",L$13="",$D95=""),"",IF('Leave Planner'!J96="",1,0))</f>
        <v/>
      </c>
      <c r="M95" s="17" t="str">
        <f>IF(OR(TEXT(M$13,"ddd")="Sun",M$13="",$D95=""),"",IF('Leave Planner'!K96="",1,0))</f>
        <v/>
      </c>
      <c r="N95" s="17" t="str">
        <f>IF(OR(TEXT(N$13,"ddd")="Sun",N$13="",$D95=""),"",IF('Leave Planner'!L96="",1,0))</f>
        <v/>
      </c>
      <c r="O95" s="17" t="str">
        <f>IF(OR(TEXT(O$13,"ddd")="Sun",O$13="",$D95=""),"",IF('Leave Planner'!M96="",1,0))</f>
        <v/>
      </c>
      <c r="P95" s="17" t="str">
        <f>IF(OR(TEXT(P$13,"ddd")="Sun",P$13="",$D95=""),"",IF('Leave Planner'!N96="",1,0))</f>
        <v/>
      </c>
      <c r="Q95" s="17" t="str">
        <f>IF(OR(TEXT(Q$13,"ddd")="Sun",Q$13="",$D95=""),"",IF('Leave Planner'!O96="",1,0))</f>
        <v/>
      </c>
      <c r="R95" s="17" t="str">
        <f>IF(OR(TEXT(R$13,"ddd")="Sun",R$13="",$D95=""),"",IF('Leave Planner'!P96="",1,0))</f>
        <v/>
      </c>
      <c r="S95" s="17" t="str">
        <f>IF(OR(TEXT(S$13,"ddd")="Sun",S$13="",$D95=""),"",IF('Leave Planner'!Q96="",1,0))</f>
        <v/>
      </c>
      <c r="T95" s="17" t="str">
        <f>IF(OR(TEXT(T$13,"ddd")="Sun",T$13="",$D95=""),"",IF('Leave Planner'!R96="",1,0))</f>
        <v/>
      </c>
      <c r="U95" s="17" t="str">
        <f>IF(OR(TEXT(U$13,"ddd")="Sun",U$13="",$D95=""),"",IF('Leave Planner'!S96="",1,0))</f>
        <v/>
      </c>
      <c r="V95" s="17" t="str">
        <f>IF(OR(TEXT(V$13,"ddd")="Sun",V$13="",$D95=""),"",IF('Leave Planner'!T96="",1,0))</f>
        <v/>
      </c>
      <c r="W95" s="17" t="str">
        <f>IF(OR(TEXT(W$13,"ddd")="Sun",W$13="",$D95=""),"",IF('Leave Planner'!U96="",1,0))</f>
        <v/>
      </c>
      <c r="X95" s="17" t="str">
        <f>IF(OR(TEXT(X$13,"ddd")="Sun",X$13="",$D95=""),"",IF('Leave Planner'!V96="",1,0))</f>
        <v/>
      </c>
      <c r="Y95" s="17" t="str">
        <f>IF(OR(TEXT(Y$13,"ddd")="Sun",Y$13="",$D95=""),"",IF('Leave Planner'!W96="",1,0))</f>
        <v/>
      </c>
      <c r="Z95" s="17" t="str">
        <f>IF(OR(TEXT(Z$13,"ddd")="Sun",Z$13="",$D95=""),"",IF('Leave Planner'!X96="",1,0))</f>
        <v/>
      </c>
      <c r="AA95" s="17" t="str">
        <f>IF(OR(TEXT(AA$13,"ddd")="Sun",AA$13="",$D95=""),"",IF('Leave Planner'!Y96="",1,0))</f>
        <v/>
      </c>
      <c r="AB95" s="17" t="str">
        <f>IF(OR(TEXT(AB$13,"ddd")="Sun",AB$13="",$D95=""),"",IF('Leave Planner'!Z96="",1,0))</f>
        <v/>
      </c>
      <c r="AC95" s="17" t="str">
        <f>IF(OR(TEXT(AC$13,"ddd")="Sun",AC$13="",$D95=""),"",IF('Leave Planner'!AA96="",1,0))</f>
        <v/>
      </c>
      <c r="AD95" s="17" t="str">
        <f>IF(OR(TEXT(AD$13,"ddd")="Sun",AD$13="",$D95=""),"",IF('Leave Planner'!AB96="",1,0))</f>
        <v/>
      </c>
      <c r="AE95" s="17" t="str">
        <f>IF(OR(TEXT(AE$13,"ddd")="Sun",AE$13="",$D95=""),"",IF('Leave Planner'!AC96="",1,0))</f>
        <v/>
      </c>
      <c r="AF95" s="17" t="str">
        <f>IF(OR(TEXT(AF$13,"ddd")="Sun",AF$13="",$D95=""),"",IF('Leave Planner'!AD96="",1,0))</f>
        <v/>
      </c>
      <c r="AG95" s="17" t="str">
        <f>IF(OR(TEXT(AG$13,"ddd")="Sun",AG$13="",$D95=""),"",IF('Leave Planner'!AE96="",1,0))</f>
        <v/>
      </c>
      <c r="AH95" s="17" t="str">
        <f>IF(OR(TEXT(AH$13,"ddd")="Sun",AH$13="",$D95=""),"",IF('Leave Planner'!AF96="",1,0))</f>
        <v/>
      </c>
      <c r="AI95" s="17" t="str">
        <f>IF(OR(TEXT(AI$13,"ddd")="Sun",AI$13="",$D95=""),"",IF('Leave Planner'!AG96="",1,0))</f>
        <v/>
      </c>
      <c r="AJ95" s="17" t="str">
        <f>IF(OR(TEXT(AJ$13,"ddd")="Sun",AJ$13="",$D95=""),"",IF('Leave Planner'!AH96="",1,0))</f>
        <v/>
      </c>
    </row>
    <row r="96" spans="2:36" x14ac:dyDescent="0.75">
      <c r="B96" s="15"/>
      <c r="C96" s="22"/>
      <c r="D96" s="22"/>
      <c r="E96" s="42" t="str">
        <f t="shared" si="6"/>
        <v/>
      </c>
      <c r="F96" s="17" t="str">
        <f>IF(OR(TEXT(F$13,"ddd")="Sun",F$13="",$D96=""),"",IF('Leave Planner'!D97="",1,0))</f>
        <v/>
      </c>
      <c r="G96" s="17" t="str">
        <f>IF(OR(TEXT(G$13,"ddd")="Sun",G$13="",$D96=""),"",IF('Leave Planner'!E97="",1,0))</f>
        <v/>
      </c>
      <c r="H96" s="17" t="str">
        <f>IF(OR(TEXT(H$13,"ddd")="Sun",H$13="",$D96=""),"",IF('Leave Planner'!F97="",1,0))</f>
        <v/>
      </c>
      <c r="I96" s="17" t="str">
        <f>IF(OR(TEXT(I$13,"ddd")="Sun",I$13="",$D96=""),"",IF('Leave Planner'!G97="",1,0))</f>
        <v/>
      </c>
      <c r="J96" s="17" t="str">
        <f>IF(OR(TEXT(J$13,"ddd")="Sun",J$13="",$D96=""),"",IF('Leave Planner'!H97="",1,0))</f>
        <v/>
      </c>
      <c r="K96" s="17" t="str">
        <f>IF(OR(TEXT(K$13,"ddd")="Sun",K$13="",$D96=""),"",IF('Leave Planner'!I97="",1,0))</f>
        <v/>
      </c>
      <c r="L96" s="17" t="str">
        <f>IF(OR(TEXT(L$13,"ddd")="Sun",L$13="",$D96=""),"",IF('Leave Planner'!J97="",1,0))</f>
        <v/>
      </c>
      <c r="M96" s="17" t="str">
        <f>IF(OR(TEXT(M$13,"ddd")="Sun",M$13="",$D96=""),"",IF('Leave Planner'!K97="",1,0))</f>
        <v/>
      </c>
      <c r="N96" s="17" t="str">
        <f>IF(OR(TEXT(N$13,"ddd")="Sun",N$13="",$D96=""),"",IF('Leave Planner'!L97="",1,0))</f>
        <v/>
      </c>
      <c r="O96" s="17" t="str">
        <f>IF(OR(TEXT(O$13,"ddd")="Sun",O$13="",$D96=""),"",IF('Leave Planner'!M97="",1,0))</f>
        <v/>
      </c>
      <c r="P96" s="17" t="str">
        <f>IF(OR(TEXT(P$13,"ddd")="Sun",P$13="",$D96=""),"",IF('Leave Planner'!N97="",1,0))</f>
        <v/>
      </c>
      <c r="Q96" s="17" t="str">
        <f>IF(OR(TEXT(Q$13,"ddd")="Sun",Q$13="",$D96=""),"",IF('Leave Planner'!O97="",1,0))</f>
        <v/>
      </c>
      <c r="R96" s="17" t="str">
        <f>IF(OR(TEXT(R$13,"ddd")="Sun",R$13="",$D96=""),"",IF('Leave Planner'!P97="",1,0))</f>
        <v/>
      </c>
      <c r="S96" s="17" t="str">
        <f>IF(OR(TEXT(S$13,"ddd")="Sun",S$13="",$D96=""),"",IF('Leave Planner'!Q97="",1,0))</f>
        <v/>
      </c>
      <c r="T96" s="17" t="str">
        <f>IF(OR(TEXT(T$13,"ddd")="Sun",T$13="",$D96=""),"",IF('Leave Planner'!R97="",1,0))</f>
        <v/>
      </c>
      <c r="U96" s="17" t="str">
        <f>IF(OR(TEXT(U$13,"ddd")="Sun",U$13="",$D96=""),"",IF('Leave Planner'!S97="",1,0))</f>
        <v/>
      </c>
      <c r="V96" s="17" t="str">
        <f>IF(OR(TEXT(V$13,"ddd")="Sun",V$13="",$D96=""),"",IF('Leave Planner'!T97="",1,0))</f>
        <v/>
      </c>
      <c r="W96" s="17" t="str">
        <f>IF(OR(TEXT(W$13,"ddd")="Sun",W$13="",$D96=""),"",IF('Leave Planner'!U97="",1,0))</f>
        <v/>
      </c>
      <c r="X96" s="17" t="str">
        <f>IF(OR(TEXT(X$13,"ddd")="Sun",X$13="",$D96=""),"",IF('Leave Planner'!V97="",1,0))</f>
        <v/>
      </c>
      <c r="Y96" s="17" t="str">
        <f>IF(OR(TEXT(Y$13,"ddd")="Sun",Y$13="",$D96=""),"",IF('Leave Planner'!W97="",1,0))</f>
        <v/>
      </c>
      <c r="Z96" s="17" t="str">
        <f>IF(OR(TEXT(Z$13,"ddd")="Sun",Z$13="",$D96=""),"",IF('Leave Planner'!X97="",1,0))</f>
        <v/>
      </c>
      <c r="AA96" s="17" t="str">
        <f>IF(OR(TEXT(AA$13,"ddd")="Sun",AA$13="",$D96=""),"",IF('Leave Planner'!Y97="",1,0))</f>
        <v/>
      </c>
      <c r="AB96" s="17" t="str">
        <f>IF(OR(TEXT(AB$13,"ddd")="Sun",AB$13="",$D96=""),"",IF('Leave Planner'!Z97="",1,0))</f>
        <v/>
      </c>
      <c r="AC96" s="17" t="str">
        <f>IF(OR(TEXT(AC$13,"ddd")="Sun",AC$13="",$D96=""),"",IF('Leave Planner'!AA97="",1,0))</f>
        <v/>
      </c>
      <c r="AD96" s="17" t="str">
        <f>IF(OR(TEXT(AD$13,"ddd")="Sun",AD$13="",$D96=""),"",IF('Leave Planner'!AB97="",1,0))</f>
        <v/>
      </c>
      <c r="AE96" s="17" t="str">
        <f>IF(OR(TEXT(AE$13,"ddd")="Sun",AE$13="",$D96=""),"",IF('Leave Planner'!AC97="",1,0))</f>
        <v/>
      </c>
      <c r="AF96" s="17" t="str">
        <f>IF(OR(TEXT(AF$13,"ddd")="Sun",AF$13="",$D96=""),"",IF('Leave Planner'!AD97="",1,0))</f>
        <v/>
      </c>
      <c r="AG96" s="17" t="str">
        <f>IF(OR(TEXT(AG$13,"ddd")="Sun",AG$13="",$D96=""),"",IF('Leave Planner'!AE97="",1,0))</f>
        <v/>
      </c>
      <c r="AH96" s="17" t="str">
        <f>IF(OR(TEXT(AH$13,"ddd")="Sun",AH$13="",$D96=""),"",IF('Leave Planner'!AF97="",1,0))</f>
        <v/>
      </c>
      <c r="AI96" s="17" t="str">
        <f>IF(OR(TEXT(AI$13,"ddd")="Sun",AI$13="",$D96=""),"",IF('Leave Planner'!AG97="",1,0))</f>
        <v/>
      </c>
      <c r="AJ96" s="17" t="str">
        <f>IF(OR(TEXT(AJ$13,"ddd")="Sun",AJ$13="",$D96=""),"",IF('Leave Planner'!AH97="",1,0))</f>
        <v/>
      </c>
    </row>
    <row r="97" spans="2:36" x14ac:dyDescent="0.75">
      <c r="B97" s="15"/>
      <c r="C97" s="22"/>
      <c r="D97" s="22"/>
      <c r="E97" s="42" t="str">
        <f t="shared" si="6"/>
        <v/>
      </c>
      <c r="F97" s="17" t="str">
        <f>IF(OR(TEXT(F$13,"ddd")="Sun",F$13="",$D97=""),"",IF('Leave Planner'!D98="",1,0))</f>
        <v/>
      </c>
      <c r="G97" s="17" t="str">
        <f>IF(OR(TEXT(G$13,"ddd")="Sun",G$13="",$D97=""),"",IF('Leave Planner'!E98="",1,0))</f>
        <v/>
      </c>
      <c r="H97" s="17" t="str">
        <f>IF(OR(TEXT(H$13,"ddd")="Sun",H$13="",$D97=""),"",IF('Leave Planner'!F98="",1,0))</f>
        <v/>
      </c>
      <c r="I97" s="17" t="str">
        <f>IF(OR(TEXT(I$13,"ddd")="Sun",I$13="",$D97=""),"",IF('Leave Planner'!G98="",1,0))</f>
        <v/>
      </c>
      <c r="J97" s="17" t="str">
        <f>IF(OR(TEXT(J$13,"ddd")="Sun",J$13="",$D97=""),"",IF('Leave Planner'!H98="",1,0))</f>
        <v/>
      </c>
      <c r="K97" s="17" t="str">
        <f>IF(OR(TEXT(K$13,"ddd")="Sun",K$13="",$D97=""),"",IF('Leave Planner'!I98="",1,0))</f>
        <v/>
      </c>
      <c r="L97" s="17" t="str">
        <f>IF(OR(TEXT(L$13,"ddd")="Sun",L$13="",$D97=""),"",IF('Leave Planner'!J98="",1,0))</f>
        <v/>
      </c>
      <c r="M97" s="17" t="str">
        <f>IF(OR(TEXT(M$13,"ddd")="Sun",M$13="",$D97=""),"",IF('Leave Planner'!K98="",1,0))</f>
        <v/>
      </c>
      <c r="N97" s="17" t="str">
        <f>IF(OR(TEXT(N$13,"ddd")="Sun",N$13="",$D97=""),"",IF('Leave Planner'!L98="",1,0))</f>
        <v/>
      </c>
      <c r="O97" s="17" t="str">
        <f>IF(OR(TEXT(O$13,"ddd")="Sun",O$13="",$D97=""),"",IF('Leave Planner'!M98="",1,0))</f>
        <v/>
      </c>
      <c r="P97" s="17" t="str">
        <f>IF(OR(TEXT(P$13,"ddd")="Sun",P$13="",$D97=""),"",IF('Leave Planner'!N98="",1,0))</f>
        <v/>
      </c>
      <c r="Q97" s="17" t="str">
        <f>IF(OR(TEXT(Q$13,"ddd")="Sun",Q$13="",$D97=""),"",IF('Leave Planner'!O98="",1,0))</f>
        <v/>
      </c>
      <c r="R97" s="17" t="str">
        <f>IF(OR(TEXT(R$13,"ddd")="Sun",R$13="",$D97=""),"",IF('Leave Planner'!P98="",1,0))</f>
        <v/>
      </c>
      <c r="S97" s="17" t="str">
        <f>IF(OR(TEXT(S$13,"ddd")="Sun",S$13="",$D97=""),"",IF('Leave Planner'!Q98="",1,0))</f>
        <v/>
      </c>
      <c r="T97" s="17" t="str">
        <f>IF(OR(TEXT(T$13,"ddd")="Sun",T$13="",$D97=""),"",IF('Leave Planner'!R98="",1,0))</f>
        <v/>
      </c>
      <c r="U97" s="17" t="str">
        <f>IF(OR(TEXT(U$13,"ddd")="Sun",U$13="",$D97=""),"",IF('Leave Planner'!S98="",1,0))</f>
        <v/>
      </c>
      <c r="V97" s="17" t="str">
        <f>IF(OR(TEXT(V$13,"ddd")="Sun",V$13="",$D97=""),"",IF('Leave Planner'!T98="",1,0))</f>
        <v/>
      </c>
      <c r="W97" s="17" t="str">
        <f>IF(OR(TEXT(W$13,"ddd")="Sun",W$13="",$D97=""),"",IF('Leave Planner'!U98="",1,0))</f>
        <v/>
      </c>
      <c r="X97" s="17" t="str">
        <f>IF(OR(TEXT(X$13,"ddd")="Sun",X$13="",$D97=""),"",IF('Leave Planner'!V98="",1,0))</f>
        <v/>
      </c>
      <c r="Y97" s="17" t="str">
        <f>IF(OR(TEXT(Y$13,"ddd")="Sun",Y$13="",$D97=""),"",IF('Leave Planner'!W98="",1,0))</f>
        <v/>
      </c>
      <c r="Z97" s="17" t="str">
        <f>IF(OR(TEXT(Z$13,"ddd")="Sun",Z$13="",$D97=""),"",IF('Leave Planner'!X98="",1,0))</f>
        <v/>
      </c>
      <c r="AA97" s="17" t="str">
        <f>IF(OR(TEXT(AA$13,"ddd")="Sun",AA$13="",$D97=""),"",IF('Leave Planner'!Y98="",1,0))</f>
        <v/>
      </c>
      <c r="AB97" s="17" t="str">
        <f>IF(OR(TEXT(AB$13,"ddd")="Sun",AB$13="",$D97=""),"",IF('Leave Planner'!Z98="",1,0))</f>
        <v/>
      </c>
      <c r="AC97" s="17" t="str">
        <f>IF(OR(TEXT(AC$13,"ddd")="Sun",AC$13="",$D97=""),"",IF('Leave Planner'!AA98="",1,0))</f>
        <v/>
      </c>
      <c r="AD97" s="17" t="str">
        <f>IF(OR(TEXT(AD$13,"ddd")="Sun",AD$13="",$D97=""),"",IF('Leave Planner'!AB98="",1,0))</f>
        <v/>
      </c>
      <c r="AE97" s="17" t="str">
        <f>IF(OR(TEXT(AE$13,"ddd")="Sun",AE$13="",$D97=""),"",IF('Leave Planner'!AC98="",1,0))</f>
        <v/>
      </c>
      <c r="AF97" s="17" t="str">
        <f>IF(OR(TEXT(AF$13,"ddd")="Sun",AF$13="",$D97=""),"",IF('Leave Planner'!AD98="",1,0))</f>
        <v/>
      </c>
      <c r="AG97" s="17" t="str">
        <f>IF(OR(TEXT(AG$13,"ddd")="Sun",AG$13="",$D97=""),"",IF('Leave Planner'!AE98="",1,0))</f>
        <v/>
      </c>
      <c r="AH97" s="17" t="str">
        <f>IF(OR(TEXT(AH$13,"ddd")="Sun",AH$13="",$D97=""),"",IF('Leave Planner'!AF98="",1,0))</f>
        <v/>
      </c>
      <c r="AI97" s="17" t="str">
        <f>IF(OR(TEXT(AI$13,"ddd")="Sun",AI$13="",$D97=""),"",IF('Leave Planner'!AG98="",1,0))</f>
        <v/>
      </c>
      <c r="AJ97" s="17" t="str">
        <f>IF(OR(TEXT(AJ$13,"ddd")="Sun",AJ$13="",$D97=""),"",IF('Leave Planner'!AH98="",1,0))</f>
        <v/>
      </c>
    </row>
    <row r="98" spans="2:36" x14ac:dyDescent="0.75">
      <c r="B98" s="15"/>
      <c r="C98" s="22"/>
      <c r="D98" s="22"/>
      <c r="E98" s="42" t="str">
        <f t="shared" si="6"/>
        <v/>
      </c>
      <c r="F98" s="17" t="str">
        <f>IF(OR(TEXT(F$13,"ddd")="Sun",F$13="",$D98=""),"",IF('Leave Planner'!D99="",1,0))</f>
        <v/>
      </c>
      <c r="G98" s="17" t="str">
        <f>IF(OR(TEXT(G$13,"ddd")="Sun",G$13="",$D98=""),"",IF('Leave Planner'!E99="",1,0))</f>
        <v/>
      </c>
      <c r="H98" s="17" t="str">
        <f>IF(OR(TEXT(H$13,"ddd")="Sun",H$13="",$D98=""),"",IF('Leave Planner'!F99="",1,0))</f>
        <v/>
      </c>
      <c r="I98" s="17" t="str">
        <f>IF(OR(TEXT(I$13,"ddd")="Sun",I$13="",$D98=""),"",IF('Leave Planner'!G99="",1,0))</f>
        <v/>
      </c>
      <c r="J98" s="17" t="str">
        <f>IF(OR(TEXT(J$13,"ddd")="Sun",J$13="",$D98=""),"",IF('Leave Planner'!H99="",1,0))</f>
        <v/>
      </c>
      <c r="K98" s="17" t="str">
        <f>IF(OR(TEXT(K$13,"ddd")="Sun",K$13="",$D98=""),"",IF('Leave Planner'!I99="",1,0))</f>
        <v/>
      </c>
      <c r="L98" s="17" t="str">
        <f>IF(OR(TEXT(L$13,"ddd")="Sun",L$13="",$D98=""),"",IF('Leave Planner'!J99="",1,0))</f>
        <v/>
      </c>
      <c r="M98" s="17" t="str">
        <f>IF(OR(TEXT(M$13,"ddd")="Sun",M$13="",$D98=""),"",IF('Leave Planner'!K99="",1,0))</f>
        <v/>
      </c>
      <c r="N98" s="17" t="str">
        <f>IF(OR(TEXT(N$13,"ddd")="Sun",N$13="",$D98=""),"",IF('Leave Planner'!L99="",1,0))</f>
        <v/>
      </c>
      <c r="O98" s="17" t="str">
        <f>IF(OR(TEXT(O$13,"ddd")="Sun",O$13="",$D98=""),"",IF('Leave Planner'!M99="",1,0))</f>
        <v/>
      </c>
      <c r="P98" s="17" t="str">
        <f>IF(OR(TEXT(P$13,"ddd")="Sun",P$13="",$D98=""),"",IF('Leave Planner'!N99="",1,0))</f>
        <v/>
      </c>
      <c r="Q98" s="17" t="str">
        <f>IF(OR(TEXT(Q$13,"ddd")="Sun",Q$13="",$D98=""),"",IF('Leave Planner'!O99="",1,0))</f>
        <v/>
      </c>
      <c r="R98" s="17" t="str">
        <f>IF(OR(TEXT(R$13,"ddd")="Sun",R$13="",$D98=""),"",IF('Leave Planner'!P99="",1,0))</f>
        <v/>
      </c>
      <c r="S98" s="17" t="str">
        <f>IF(OR(TEXT(S$13,"ddd")="Sun",S$13="",$D98=""),"",IF('Leave Planner'!Q99="",1,0))</f>
        <v/>
      </c>
      <c r="T98" s="17" t="str">
        <f>IF(OR(TEXT(T$13,"ddd")="Sun",T$13="",$D98=""),"",IF('Leave Planner'!R99="",1,0))</f>
        <v/>
      </c>
      <c r="U98" s="17" t="str">
        <f>IF(OR(TEXT(U$13,"ddd")="Sun",U$13="",$D98=""),"",IF('Leave Planner'!S99="",1,0))</f>
        <v/>
      </c>
      <c r="V98" s="17" t="str">
        <f>IF(OR(TEXT(V$13,"ddd")="Sun",V$13="",$D98=""),"",IF('Leave Planner'!T99="",1,0))</f>
        <v/>
      </c>
      <c r="W98" s="17" t="str">
        <f>IF(OR(TEXT(W$13,"ddd")="Sun",W$13="",$D98=""),"",IF('Leave Planner'!U99="",1,0))</f>
        <v/>
      </c>
      <c r="X98" s="17" t="str">
        <f>IF(OR(TEXT(X$13,"ddd")="Sun",X$13="",$D98=""),"",IF('Leave Planner'!V99="",1,0))</f>
        <v/>
      </c>
      <c r="Y98" s="17" t="str">
        <f>IF(OR(TEXT(Y$13,"ddd")="Sun",Y$13="",$D98=""),"",IF('Leave Planner'!W99="",1,0))</f>
        <v/>
      </c>
      <c r="Z98" s="17" t="str">
        <f>IF(OR(TEXT(Z$13,"ddd")="Sun",Z$13="",$D98=""),"",IF('Leave Planner'!X99="",1,0))</f>
        <v/>
      </c>
      <c r="AA98" s="17" t="str">
        <f>IF(OR(TEXT(AA$13,"ddd")="Sun",AA$13="",$D98=""),"",IF('Leave Planner'!Y99="",1,0))</f>
        <v/>
      </c>
      <c r="AB98" s="17" t="str">
        <f>IF(OR(TEXT(AB$13,"ddd")="Sun",AB$13="",$D98=""),"",IF('Leave Planner'!Z99="",1,0))</f>
        <v/>
      </c>
      <c r="AC98" s="17" t="str">
        <f>IF(OR(TEXT(AC$13,"ddd")="Sun",AC$13="",$D98=""),"",IF('Leave Planner'!AA99="",1,0))</f>
        <v/>
      </c>
      <c r="AD98" s="17" t="str">
        <f>IF(OR(TEXT(AD$13,"ddd")="Sun",AD$13="",$D98=""),"",IF('Leave Planner'!AB99="",1,0))</f>
        <v/>
      </c>
      <c r="AE98" s="17" t="str">
        <f>IF(OR(TEXT(AE$13,"ddd")="Sun",AE$13="",$D98=""),"",IF('Leave Planner'!AC99="",1,0))</f>
        <v/>
      </c>
      <c r="AF98" s="17" t="str">
        <f>IF(OR(TEXT(AF$13,"ddd")="Sun",AF$13="",$D98=""),"",IF('Leave Planner'!AD99="",1,0))</f>
        <v/>
      </c>
      <c r="AG98" s="17" t="str">
        <f>IF(OR(TEXT(AG$13,"ddd")="Sun",AG$13="",$D98=""),"",IF('Leave Planner'!AE99="",1,0))</f>
        <v/>
      </c>
      <c r="AH98" s="17" t="str">
        <f>IF(OR(TEXT(AH$13,"ddd")="Sun",AH$13="",$D98=""),"",IF('Leave Planner'!AF99="",1,0))</f>
        <v/>
      </c>
      <c r="AI98" s="17" t="str">
        <f>IF(OR(TEXT(AI$13,"ddd")="Sun",AI$13="",$D98=""),"",IF('Leave Planner'!AG99="",1,0))</f>
        <v/>
      </c>
      <c r="AJ98" s="17" t="str">
        <f>IF(OR(TEXT(AJ$13,"ddd")="Sun",AJ$13="",$D98=""),"",IF('Leave Planner'!AH99="",1,0))</f>
        <v/>
      </c>
    </row>
    <row r="99" spans="2:36" x14ac:dyDescent="0.75">
      <c r="B99" s="15"/>
      <c r="C99" s="22"/>
      <c r="D99" s="22"/>
      <c r="E99" s="42" t="str">
        <f t="shared" si="6"/>
        <v/>
      </c>
      <c r="F99" s="17" t="str">
        <f>IF(OR(TEXT(F$13,"ddd")="Sun",F$13="",$D99=""),"",IF('Leave Planner'!D100="",1,0))</f>
        <v/>
      </c>
      <c r="G99" s="17" t="str">
        <f>IF(OR(TEXT(G$13,"ddd")="Sun",G$13="",$D99=""),"",IF('Leave Planner'!E100="",1,0))</f>
        <v/>
      </c>
      <c r="H99" s="17" t="str">
        <f>IF(OR(TEXT(H$13,"ddd")="Sun",H$13="",$D99=""),"",IF('Leave Planner'!F100="",1,0))</f>
        <v/>
      </c>
      <c r="I99" s="17" t="str">
        <f>IF(OR(TEXT(I$13,"ddd")="Sun",I$13="",$D99=""),"",IF('Leave Planner'!G100="",1,0))</f>
        <v/>
      </c>
      <c r="J99" s="17" t="str">
        <f>IF(OR(TEXT(J$13,"ddd")="Sun",J$13="",$D99=""),"",IF('Leave Planner'!H100="",1,0))</f>
        <v/>
      </c>
      <c r="K99" s="17" t="str">
        <f>IF(OR(TEXT(K$13,"ddd")="Sun",K$13="",$D99=""),"",IF('Leave Planner'!I100="",1,0))</f>
        <v/>
      </c>
      <c r="L99" s="17" t="str">
        <f>IF(OR(TEXT(L$13,"ddd")="Sun",L$13="",$D99=""),"",IF('Leave Planner'!J100="",1,0))</f>
        <v/>
      </c>
      <c r="M99" s="17" t="str">
        <f>IF(OR(TEXT(M$13,"ddd")="Sun",M$13="",$D99=""),"",IF('Leave Planner'!K100="",1,0))</f>
        <v/>
      </c>
      <c r="N99" s="17" t="str">
        <f>IF(OR(TEXT(N$13,"ddd")="Sun",N$13="",$D99=""),"",IF('Leave Planner'!L100="",1,0))</f>
        <v/>
      </c>
      <c r="O99" s="17" t="str">
        <f>IF(OR(TEXT(O$13,"ddd")="Sun",O$13="",$D99=""),"",IF('Leave Planner'!M100="",1,0))</f>
        <v/>
      </c>
      <c r="P99" s="17" t="str">
        <f>IF(OR(TEXT(P$13,"ddd")="Sun",P$13="",$D99=""),"",IF('Leave Planner'!N100="",1,0))</f>
        <v/>
      </c>
      <c r="Q99" s="17" t="str">
        <f>IF(OR(TEXT(Q$13,"ddd")="Sun",Q$13="",$D99=""),"",IF('Leave Planner'!O100="",1,0))</f>
        <v/>
      </c>
      <c r="R99" s="17" t="str">
        <f>IF(OR(TEXT(R$13,"ddd")="Sun",R$13="",$D99=""),"",IF('Leave Planner'!P100="",1,0))</f>
        <v/>
      </c>
      <c r="S99" s="17" t="str">
        <f>IF(OR(TEXT(S$13,"ddd")="Sun",S$13="",$D99=""),"",IF('Leave Planner'!Q100="",1,0))</f>
        <v/>
      </c>
      <c r="T99" s="17" t="str">
        <f>IF(OR(TEXT(T$13,"ddd")="Sun",T$13="",$D99=""),"",IF('Leave Planner'!R100="",1,0))</f>
        <v/>
      </c>
      <c r="U99" s="17" t="str">
        <f>IF(OR(TEXT(U$13,"ddd")="Sun",U$13="",$D99=""),"",IF('Leave Planner'!S100="",1,0))</f>
        <v/>
      </c>
      <c r="V99" s="17" t="str">
        <f>IF(OR(TEXT(V$13,"ddd")="Sun",V$13="",$D99=""),"",IF('Leave Planner'!T100="",1,0))</f>
        <v/>
      </c>
      <c r="W99" s="17" t="str">
        <f>IF(OR(TEXT(W$13,"ddd")="Sun",W$13="",$D99=""),"",IF('Leave Planner'!U100="",1,0))</f>
        <v/>
      </c>
      <c r="X99" s="17" t="str">
        <f>IF(OR(TEXT(X$13,"ddd")="Sun",X$13="",$D99=""),"",IF('Leave Planner'!V100="",1,0))</f>
        <v/>
      </c>
      <c r="Y99" s="17" t="str">
        <f>IF(OR(TEXT(Y$13,"ddd")="Sun",Y$13="",$D99=""),"",IF('Leave Planner'!W100="",1,0))</f>
        <v/>
      </c>
      <c r="Z99" s="17" t="str">
        <f>IF(OR(TEXT(Z$13,"ddd")="Sun",Z$13="",$D99=""),"",IF('Leave Planner'!X100="",1,0))</f>
        <v/>
      </c>
      <c r="AA99" s="17" t="str">
        <f>IF(OR(TEXT(AA$13,"ddd")="Sun",AA$13="",$D99=""),"",IF('Leave Planner'!Y100="",1,0))</f>
        <v/>
      </c>
      <c r="AB99" s="17" t="str">
        <f>IF(OR(TEXT(AB$13,"ddd")="Sun",AB$13="",$D99=""),"",IF('Leave Planner'!Z100="",1,0))</f>
        <v/>
      </c>
      <c r="AC99" s="17" t="str">
        <f>IF(OR(TEXT(AC$13,"ddd")="Sun",AC$13="",$D99=""),"",IF('Leave Planner'!AA100="",1,0))</f>
        <v/>
      </c>
      <c r="AD99" s="17" t="str">
        <f>IF(OR(TEXT(AD$13,"ddd")="Sun",AD$13="",$D99=""),"",IF('Leave Planner'!AB100="",1,0))</f>
        <v/>
      </c>
      <c r="AE99" s="17" t="str">
        <f>IF(OR(TEXT(AE$13,"ddd")="Sun",AE$13="",$D99=""),"",IF('Leave Planner'!AC100="",1,0))</f>
        <v/>
      </c>
      <c r="AF99" s="17" t="str">
        <f>IF(OR(TEXT(AF$13,"ddd")="Sun",AF$13="",$D99=""),"",IF('Leave Planner'!AD100="",1,0))</f>
        <v/>
      </c>
      <c r="AG99" s="17" t="str">
        <f>IF(OR(TEXT(AG$13,"ddd")="Sun",AG$13="",$D99=""),"",IF('Leave Planner'!AE100="",1,0))</f>
        <v/>
      </c>
      <c r="AH99" s="17" t="str">
        <f>IF(OR(TEXT(AH$13,"ddd")="Sun",AH$13="",$D99=""),"",IF('Leave Planner'!AF100="",1,0))</f>
        <v/>
      </c>
      <c r="AI99" s="17" t="str">
        <f>IF(OR(TEXT(AI$13,"ddd")="Sun",AI$13="",$D99=""),"",IF('Leave Planner'!AG100="",1,0))</f>
        <v/>
      </c>
      <c r="AJ99" s="17" t="str">
        <f>IF(OR(TEXT(AJ$13,"ddd")="Sun",AJ$13="",$D99=""),"",IF('Leave Planner'!AH100="",1,0))</f>
        <v/>
      </c>
    </row>
    <row r="100" spans="2:36" x14ac:dyDescent="0.75">
      <c r="B100" s="15"/>
      <c r="C100" s="22"/>
      <c r="D100" s="22"/>
      <c r="E100" s="42" t="str">
        <f t="shared" si="6"/>
        <v/>
      </c>
      <c r="F100" s="17" t="str">
        <f>IF(OR(TEXT(F$13,"ddd")="Sun",F$13="",$D100=""),"",IF('Leave Planner'!D101="",1,0))</f>
        <v/>
      </c>
      <c r="G100" s="17" t="str">
        <f>IF(OR(TEXT(G$13,"ddd")="Sun",G$13="",$D100=""),"",IF('Leave Planner'!E101="",1,0))</f>
        <v/>
      </c>
      <c r="H100" s="17" t="str">
        <f>IF(OR(TEXT(H$13,"ddd")="Sun",H$13="",$D100=""),"",IF('Leave Planner'!F101="",1,0))</f>
        <v/>
      </c>
      <c r="I100" s="17" t="str">
        <f>IF(OR(TEXT(I$13,"ddd")="Sun",I$13="",$D100=""),"",IF('Leave Planner'!G101="",1,0))</f>
        <v/>
      </c>
      <c r="J100" s="17" t="str">
        <f>IF(OR(TEXT(J$13,"ddd")="Sun",J$13="",$D100=""),"",IF('Leave Planner'!H101="",1,0))</f>
        <v/>
      </c>
      <c r="K100" s="17" t="str">
        <f>IF(OR(TEXT(K$13,"ddd")="Sun",K$13="",$D100=""),"",IF('Leave Planner'!I101="",1,0))</f>
        <v/>
      </c>
      <c r="L100" s="17" t="str">
        <f>IF(OR(TEXT(L$13,"ddd")="Sun",L$13="",$D100=""),"",IF('Leave Planner'!J101="",1,0))</f>
        <v/>
      </c>
      <c r="M100" s="17" t="str">
        <f>IF(OR(TEXT(M$13,"ddd")="Sun",M$13="",$D100=""),"",IF('Leave Planner'!K101="",1,0))</f>
        <v/>
      </c>
      <c r="N100" s="17" t="str">
        <f>IF(OR(TEXT(N$13,"ddd")="Sun",N$13="",$D100=""),"",IF('Leave Planner'!L101="",1,0))</f>
        <v/>
      </c>
      <c r="O100" s="17" t="str">
        <f>IF(OR(TEXT(O$13,"ddd")="Sun",O$13="",$D100=""),"",IF('Leave Planner'!M101="",1,0))</f>
        <v/>
      </c>
      <c r="P100" s="17" t="str">
        <f>IF(OR(TEXT(P$13,"ddd")="Sun",P$13="",$D100=""),"",IF('Leave Planner'!N101="",1,0))</f>
        <v/>
      </c>
      <c r="Q100" s="17" t="str">
        <f>IF(OR(TEXT(Q$13,"ddd")="Sun",Q$13="",$D100=""),"",IF('Leave Planner'!O101="",1,0))</f>
        <v/>
      </c>
      <c r="R100" s="17" t="str">
        <f>IF(OR(TEXT(R$13,"ddd")="Sun",R$13="",$D100=""),"",IF('Leave Planner'!P101="",1,0))</f>
        <v/>
      </c>
      <c r="S100" s="17" t="str">
        <f>IF(OR(TEXT(S$13,"ddd")="Sun",S$13="",$D100=""),"",IF('Leave Planner'!Q101="",1,0))</f>
        <v/>
      </c>
      <c r="T100" s="17" t="str">
        <f>IF(OR(TEXT(T$13,"ddd")="Sun",T$13="",$D100=""),"",IF('Leave Planner'!R101="",1,0))</f>
        <v/>
      </c>
      <c r="U100" s="17" t="str">
        <f>IF(OR(TEXT(U$13,"ddd")="Sun",U$13="",$D100=""),"",IF('Leave Planner'!S101="",1,0))</f>
        <v/>
      </c>
      <c r="V100" s="17" t="str">
        <f>IF(OR(TEXT(V$13,"ddd")="Sun",V$13="",$D100=""),"",IF('Leave Planner'!T101="",1,0))</f>
        <v/>
      </c>
      <c r="W100" s="17" t="str">
        <f>IF(OR(TEXT(W$13,"ddd")="Sun",W$13="",$D100=""),"",IF('Leave Planner'!U101="",1,0))</f>
        <v/>
      </c>
      <c r="X100" s="17" t="str">
        <f>IF(OR(TEXT(X$13,"ddd")="Sun",X$13="",$D100=""),"",IF('Leave Planner'!V101="",1,0))</f>
        <v/>
      </c>
      <c r="Y100" s="17" t="str">
        <f>IF(OR(TEXT(Y$13,"ddd")="Sun",Y$13="",$D100=""),"",IF('Leave Planner'!W101="",1,0))</f>
        <v/>
      </c>
      <c r="Z100" s="17" t="str">
        <f>IF(OR(TEXT(Z$13,"ddd")="Sun",Z$13="",$D100=""),"",IF('Leave Planner'!X101="",1,0))</f>
        <v/>
      </c>
      <c r="AA100" s="17" t="str">
        <f>IF(OR(TEXT(AA$13,"ddd")="Sun",AA$13="",$D100=""),"",IF('Leave Planner'!Y101="",1,0))</f>
        <v/>
      </c>
      <c r="AB100" s="17" t="str">
        <f>IF(OR(TEXT(AB$13,"ddd")="Sun",AB$13="",$D100=""),"",IF('Leave Planner'!Z101="",1,0))</f>
        <v/>
      </c>
      <c r="AC100" s="17" t="str">
        <f>IF(OR(TEXT(AC$13,"ddd")="Sun",AC$13="",$D100=""),"",IF('Leave Planner'!AA101="",1,0))</f>
        <v/>
      </c>
      <c r="AD100" s="17" t="str">
        <f>IF(OR(TEXT(AD$13,"ddd")="Sun",AD$13="",$D100=""),"",IF('Leave Planner'!AB101="",1,0))</f>
        <v/>
      </c>
      <c r="AE100" s="17" t="str">
        <f>IF(OR(TEXT(AE$13,"ddd")="Sun",AE$13="",$D100=""),"",IF('Leave Planner'!AC101="",1,0))</f>
        <v/>
      </c>
      <c r="AF100" s="17" t="str">
        <f>IF(OR(TEXT(AF$13,"ddd")="Sun",AF$13="",$D100=""),"",IF('Leave Planner'!AD101="",1,0))</f>
        <v/>
      </c>
      <c r="AG100" s="17" t="str">
        <f>IF(OR(TEXT(AG$13,"ddd")="Sun",AG$13="",$D100=""),"",IF('Leave Planner'!AE101="",1,0))</f>
        <v/>
      </c>
      <c r="AH100" s="17" t="str">
        <f>IF(OR(TEXT(AH$13,"ddd")="Sun",AH$13="",$D100=""),"",IF('Leave Planner'!AF101="",1,0))</f>
        <v/>
      </c>
      <c r="AI100" s="17" t="str">
        <f>IF(OR(TEXT(AI$13,"ddd")="Sun",AI$13="",$D100=""),"",IF('Leave Planner'!AG101="",1,0))</f>
        <v/>
      </c>
      <c r="AJ100" s="17" t="str">
        <f>IF(OR(TEXT(AJ$13,"ddd")="Sun",AJ$13="",$D100=""),"",IF('Leave Planner'!AH101="",1,0))</f>
        <v/>
      </c>
    </row>
    <row r="101" spans="2:36" x14ac:dyDescent="0.75">
      <c r="B101" s="15"/>
      <c r="C101" s="22"/>
      <c r="D101" s="22"/>
      <c r="E101" s="42" t="str">
        <f t="shared" si="6"/>
        <v/>
      </c>
      <c r="F101" s="17" t="str">
        <f>IF(OR(TEXT(F$13,"ddd")="Sun",F$13="",$D101=""),"",IF('Leave Planner'!D102="",1,0))</f>
        <v/>
      </c>
      <c r="G101" s="17" t="str">
        <f>IF(OR(TEXT(G$13,"ddd")="Sun",G$13="",$D101=""),"",IF('Leave Planner'!E102="",1,0))</f>
        <v/>
      </c>
      <c r="H101" s="17" t="str">
        <f>IF(OR(TEXT(H$13,"ddd")="Sun",H$13="",$D101=""),"",IF('Leave Planner'!F102="",1,0))</f>
        <v/>
      </c>
      <c r="I101" s="17" t="str">
        <f>IF(OR(TEXT(I$13,"ddd")="Sun",I$13="",$D101=""),"",IF('Leave Planner'!G102="",1,0))</f>
        <v/>
      </c>
      <c r="J101" s="17" t="str">
        <f>IF(OR(TEXT(J$13,"ddd")="Sun",J$13="",$D101=""),"",IF('Leave Planner'!H102="",1,0))</f>
        <v/>
      </c>
      <c r="K101" s="17" t="str">
        <f>IF(OR(TEXT(K$13,"ddd")="Sun",K$13="",$D101=""),"",IF('Leave Planner'!I102="",1,0))</f>
        <v/>
      </c>
      <c r="L101" s="17" t="str">
        <f>IF(OR(TEXT(L$13,"ddd")="Sun",L$13="",$D101=""),"",IF('Leave Planner'!J102="",1,0))</f>
        <v/>
      </c>
      <c r="M101" s="17" t="str">
        <f>IF(OR(TEXT(M$13,"ddd")="Sun",M$13="",$D101=""),"",IF('Leave Planner'!K102="",1,0))</f>
        <v/>
      </c>
      <c r="N101" s="17" t="str">
        <f>IF(OR(TEXT(N$13,"ddd")="Sun",N$13="",$D101=""),"",IF('Leave Planner'!L102="",1,0))</f>
        <v/>
      </c>
      <c r="O101" s="17" t="str">
        <f>IF(OR(TEXT(O$13,"ddd")="Sun",O$13="",$D101=""),"",IF('Leave Planner'!M102="",1,0))</f>
        <v/>
      </c>
      <c r="P101" s="17" t="str">
        <f>IF(OR(TEXT(P$13,"ddd")="Sun",P$13="",$D101=""),"",IF('Leave Planner'!N102="",1,0))</f>
        <v/>
      </c>
      <c r="Q101" s="17" t="str">
        <f>IF(OR(TEXT(Q$13,"ddd")="Sun",Q$13="",$D101=""),"",IF('Leave Planner'!O102="",1,0))</f>
        <v/>
      </c>
      <c r="R101" s="17" t="str">
        <f>IF(OR(TEXT(R$13,"ddd")="Sun",R$13="",$D101=""),"",IF('Leave Planner'!P102="",1,0))</f>
        <v/>
      </c>
      <c r="S101" s="17" t="str">
        <f>IF(OR(TEXT(S$13,"ddd")="Sun",S$13="",$D101=""),"",IF('Leave Planner'!Q102="",1,0))</f>
        <v/>
      </c>
      <c r="T101" s="17" t="str">
        <f>IF(OR(TEXT(T$13,"ddd")="Sun",T$13="",$D101=""),"",IF('Leave Planner'!R102="",1,0))</f>
        <v/>
      </c>
      <c r="U101" s="17" t="str">
        <f>IF(OR(TEXT(U$13,"ddd")="Sun",U$13="",$D101=""),"",IF('Leave Planner'!S102="",1,0))</f>
        <v/>
      </c>
      <c r="V101" s="17" t="str">
        <f>IF(OR(TEXT(V$13,"ddd")="Sun",V$13="",$D101=""),"",IF('Leave Planner'!T102="",1,0))</f>
        <v/>
      </c>
      <c r="W101" s="17" t="str">
        <f>IF(OR(TEXT(W$13,"ddd")="Sun",W$13="",$D101=""),"",IF('Leave Planner'!U102="",1,0))</f>
        <v/>
      </c>
      <c r="X101" s="17" t="str">
        <f>IF(OR(TEXT(X$13,"ddd")="Sun",X$13="",$D101=""),"",IF('Leave Planner'!V102="",1,0))</f>
        <v/>
      </c>
      <c r="Y101" s="17" t="str">
        <f>IF(OR(TEXT(Y$13,"ddd")="Sun",Y$13="",$D101=""),"",IF('Leave Planner'!W102="",1,0))</f>
        <v/>
      </c>
      <c r="Z101" s="17" t="str">
        <f>IF(OR(TEXT(Z$13,"ddd")="Sun",Z$13="",$D101=""),"",IF('Leave Planner'!X102="",1,0))</f>
        <v/>
      </c>
      <c r="AA101" s="17" t="str">
        <f>IF(OR(TEXT(AA$13,"ddd")="Sun",AA$13="",$D101=""),"",IF('Leave Planner'!Y102="",1,0))</f>
        <v/>
      </c>
      <c r="AB101" s="17" t="str">
        <f>IF(OR(TEXT(AB$13,"ddd")="Sun",AB$13="",$D101=""),"",IF('Leave Planner'!Z102="",1,0))</f>
        <v/>
      </c>
      <c r="AC101" s="17" t="str">
        <f>IF(OR(TEXT(AC$13,"ddd")="Sun",AC$13="",$D101=""),"",IF('Leave Planner'!AA102="",1,0))</f>
        <v/>
      </c>
      <c r="AD101" s="17" t="str">
        <f>IF(OR(TEXT(AD$13,"ddd")="Sun",AD$13="",$D101=""),"",IF('Leave Planner'!AB102="",1,0))</f>
        <v/>
      </c>
      <c r="AE101" s="17" t="str">
        <f>IF(OR(TEXT(AE$13,"ddd")="Sun",AE$13="",$D101=""),"",IF('Leave Planner'!AC102="",1,0))</f>
        <v/>
      </c>
      <c r="AF101" s="17" t="str">
        <f>IF(OR(TEXT(AF$13,"ddd")="Sun",AF$13="",$D101=""),"",IF('Leave Planner'!AD102="",1,0))</f>
        <v/>
      </c>
      <c r="AG101" s="17" t="str">
        <f>IF(OR(TEXT(AG$13,"ddd")="Sun",AG$13="",$D101=""),"",IF('Leave Planner'!AE102="",1,0))</f>
        <v/>
      </c>
      <c r="AH101" s="17" t="str">
        <f>IF(OR(TEXT(AH$13,"ddd")="Sun",AH$13="",$D101=""),"",IF('Leave Planner'!AF102="",1,0))</f>
        <v/>
      </c>
      <c r="AI101" s="17" t="str">
        <f>IF(OR(TEXT(AI$13,"ddd")="Sun",AI$13="",$D101=""),"",IF('Leave Planner'!AG102="",1,0))</f>
        <v/>
      </c>
      <c r="AJ101" s="17" t="str">
        <f>IF(OR(TEXT(AJ$13,"ddd")="Sun",AJ$13="",$D101=""),"",IF('Leave Planner'!AH102="",1,0))</f>
        <v/>
      </c>
    </row>
    <row r="102" spans="2:36" x14ac:dyDescent="0.75">
      <c r="B102" s="15"/>
      <c r="C102" s="22"/>
      <c r="D102" s="22"/>
      <c r="E102" s="42" t="str">
        <f t="shared" si="6"/>
        <v/>
      </c>
      <c r="F102" s="17" t="str">
        <f>IF(OR(TEXT(F$13,"ddd")="Sun",F$13="",$D102=""),"",IF('Leave Planner'!D103="",1,0))</f>
        <v/>
      </c>
      <c r="G102" s="17" t="str">
        <f>IF(OR(TEXT(G$13,"ddd")="Sun",G$13="",$D102=""),"",IF('Leave Planner'!E103="",1,0))</f>
        <v/>
      </c>
      <c r="H102" s="17" t="str">
        <f>IF(OR(TEXT(H$13,"ddd")="Sun",H$13="",$D102=""),"",IF('Leave Planner'!F103="",1,0))</f>
        <v/>
      </c>
      <c r="I102" s="17" t="str">
        <f>IF(OR(TEXT(I$13,"ddd")="Sun",I$13="",$D102=""),"",IF('Leave Planner'!G103="",1,0))</f>
        <v/>
      </c>
      <c r="J102" s="17" t="str">
        <f>IF(OR(TEXT(J$13,"ddd")="Sun",J$13="",$D102=""),"",IF('Leave Planner'!H103="",1,0))</f>
        <v/>
      </c>
      <c r="K102" s="17" t="str">
        <f>IF(OR(TEXT(K$13,"ddd")="Sun",K$13="",$D102=""),"",IF('Leave Planner'!I103="",1,0))</f>
        <v/>
      </c>
      <c r="L102" s="17" t="str">
        <f>IF(OR(TEXT(L$13,"ddd")="Sun",L$13="",$D102=""),"",IF('Leave Planner'!J103="",1,0))</f>
        <v/>
      </c>
      <c r="M102" s="17" t="str">
        <f>IF(OR(TEXT(M$13,"ddd")="Sun",M$13="",$D102=""),"",IF('Leave Planner'!K103="",1,0))</f>
        <v/>
      </c>
      <c r="N102" s="17" t="str">
        <f>IF(OR(TEXT(N$13,"ddd")="Sun",N$13="",$D102=""),"",IF('Leave Planner'!L103="",1,0))</f>
        <v/>
      </c>
      <c r="O102" s="17" t="str">
        <f>IF(OR(TEXT(O$13,"ddd")="Sun",O$13="",$D102=""),"",IF('Leave Planner'!M103="",1,0))</f>
        <v/>
      </c>
      <c r="P102" s="17" t="str">
        <f>IF(OR(TEXT(P$13,"ddd")="Sun",P$13="",$D102=""),"",IF('Leave Planner'!N103="",1,0))</f>
        <v/>
      </c>
      <c r="Q102" s="17" t="str">
        <f>IF(OR(TEXT(Q$13,"ddd")="Sun",Q$13="",$D102=""),"",IF('Leave Planner'!O103="",1,0))</f>
        <v/>
      </c>
      <c r="R102" s="17" t="str">
        <f>IF(OR(TEXT(R$13,"ddd")="Sun",R$13="",$D102=""),"",IF('Leave Planner'!P103="",1,0))</f>
        <v/>
      </c>
      <c r="S102" s="17" t="str">
        <f>IF(OR(TEXT(S$13,"ddd")="Sun",S$13="",$D102=""),"",IF('Leave Planner'!Q103="",1,0))</f>
        <v/>
      </c>
      <c r="T102" s="17" t="str">
        <f>IF(OR(TEXT(T$13,"ddd")="Sun",T$13="",$D102=""),"",IF('Leave Planner'!R103="",1,0))</f>
        <v/>
      </c>
      <c r="U102" s="17" t="str">
        <f>IF(OR(TEXT(U$13,"ddd")="Sun",U$13="",$D102=""),"",IF('Leave Planner'!S103="",1,0))</f>
        <v/>
      </c>
      <c r="V102" s="17" t="str">
        <f>IF(OR(TEXT(V$13,"ddd")="Sun",V$13="",$D102=""),"",IF('Leave Planner'!T103="",1,0))</f>
        <v/>
      </c>
      <c r="W102" s="17" t="str">
        <f>IF(OR(TEXT(W$13,"ddd")="Sun",W$13="",$D102=""),"",IF('Leave Planner'!U103="",1,0))</f>
        <v/>
      </c>
      <c r="X102" s="17" t="str">
        <f>IF(OR(TEXT(X$13,"ddd")="Sun",X$13="",$D102=""),"",IF('Leave Planner'!V103="",1,0))</f>
        <v/>
      </c>
      <c r="Y102" s="17" t="str">
        <f>IF(OR(TEXT(Y$13,"ddd")="Sun",Y$13="",$D102=""),"",IF('Leave Planner'!W103="",1,0))</f>
        <v/>
      </c>
      <c r="Z102" s="17" t="str">
        <f>IF(OR(TEXT(Z$13,"ddd")="Sun",Z$13="",$D102=""),"",IF('Leave Planner'!X103="",1,0))</f>
        <v/>
      </c>
      <c r="AA102" s="17" t="str">
        <f>IF(OR(TEXT(AA$13,"ddd")="Sun",AA$13="",$D102=""),"",IF('Leave Planner'!Y103="",1,0))</f>
        <v/>
      </c>
      <c r="AB102" s="17" t="str">
        <f>IF(OR(TEXT(AB$13,"ddd")="Sun",AB$13="",$D102=""),"",IF('Leave Planner'!Z103="",1,0))</f>
        <v/>
      </c>
      <c r="AC102" s="17" t="str">
        <f>IF(OR(TEXT(AC$13,"ddd")="Sun",AC$13="",$D102=""),"",IF('Leave Planner'!AA103="",1,0))</f>
        <v/>
      </c>
      <c r="AD102" s="17" t="str">
        <f>IF(OR(TEXT(AD$13,"ddd")="Sun",AD$13="",$D102=""),"",IF('Leave Planner'!AB103="",1,0))</f>
        <v/>
      </c>
      <c r="AE102" s="17" t="str">
        <f>IF(OR(TEXT(AE$13,"ddd")="Sun",AE$13="",$D102=""),"",IF('Leave Planner'!AC103="",1,0))</f>
        <v/>
      </c>
      <c r="AF102" s="17" t="str">
        <f>IF(OR(TEXT(AF$13,"ddd")="Sun",AF$13="",$D102=""),"",IF('Leave Planner'!AD103="",1,0))</f>
        <v/>
      </c>
      <c r="AG102" s="17" t="str">
        <f>IF(OR(TEXT(AG$13,"ddd")="Sun",AG$13="",$D102=""),"",IF('Leave Planner'!AE103="",1,0))</f>
        <v/>
      </c>
      <c r="AH102" s="17" t="str">
        <f>IF(OR(TEXT(AH$13,"ddd")="Sun",AH$13="",$D102=""),"",IF('Leave Planner'!AF103="",1,0))</f>
        <v/>
      </c>
      <c r="AI102" s="17" t="str">
        <f>IF(OR(TEXT(AI$13,"ddd")="Sun",AI$13="",$D102=""),"",IF('Leave Planner'!AG103="",1,0))</f>
        <v/>
      </c>
      <c r="AJ102" s="17" t="str">
        <f>IF(OR(TEXT(AJ$13,"ddd")="Sun",AJ$13="",$D102=""),"",IF('Leave Planner'!AH103="",1,0))</f>
        <v/>
      </c>
    </row>
    <row r="103" spans="2:36" x14ac:dyDescent="0.75">
      <c r="B103" s="15"/>
      <c r="C103" s="22"/>
      <c r="D103" s="22"/>
      <c r="E103" s="42" t="str">
        <f t="shared" si="6"/>
        <v/>
      </c>
      <c r="F103" s="17" t="str">
        <f>IF(OR(TEXT(F$13,"ddd")="Sun",F$13="",$D103=""),"",IF('Leave Planner'!D104="",1,0))</f>
        <v/>
      </c>
      <c r="G103" s="17" t="str">
        <f>IF(OR(TEXT(G$13,"ddd")="Sun",G$13="",$D103=""),"",IF('Leave Planner'!E104="",1,0))</f>
        <v/>
      </c>
      <c r="H103" s="17" t="str">
        <f>IF(OR(TEXT(H$13,"ddd")="Sun",H$13="",$D103=""),"",IF('Leave Planner'!F104="",1,0))</f>
        <v/>
      </c>
      <c r="I103" s="17" t="str">
        <f>IF(OR(TEXT(I$13,"ddd")="Sun",I$13="",$D103=""),"",IF('Leave Planner'!G104="",1,0))</f>
        <v/>
      </c>
      <c r="J103" s="17" t="str">
        <f>IF(OR(TEXT(J$13,"ddd")="Sun",J$13="",$D103=""),"",IF('Leave Planner'!H104="",1,0))</f>
        <v/>
      </c>
      <c r="K103" s="17" t="str">
        <f>IF(OR(TEXT(K$13,"ddd")="Sun",K$13="",$D103=""),"",IF('Leave Planner'!I104="",1,0))</f>
        <v/>
      </c>
      <c r="L103" s="17" t="str">
        <f>IF(OR(TEXT(L$13,"ddd")="Sun",L$13="",$D103=""),"",IF('Leave Planner'!J104="",1,0))</f>
        <v/>
      </c>
      <c r="M103" s="17" t="str">
        <f>IF(OR(TEXT(M$13,"ddd")="Sun",M$13="",$D103=""),"",IF('Leave Planner'!K104="",1,0))</f>
        <v/>
      </c>
      <c r="N103" s="17" t="str">
        <f>IF(OR(TEXT(N$13,"ddd")="Sun",N$13="",$D103=""),"",IF('Leave Planner'!L104="",1,0))</f>
        <v/>
      </c>
      <c r="O103" s="17" t="str">
        <f>IF(OR(TEXT(O$13,"ddd")="Sun",O$13="",$D103=""),"",IF('Leave Planner'!M104="",1,0))</f>
        <v/>
      </c>
      <c r="P103" s="17" t="str">
        <f>IF(OR(TEXT(P$13,"ddd")="Sun",P$13="",$D103=""),"",IF('Leave Planner'!N104="",1,0))</f>
        <v/>
      </c>
      <c r="Q103" s="17" t="str">
        <f>IF(OR(TEXT(Q$13,"ddd")="Sun",Q$13="",$D103=""),"",IF('Leave Planner'!O104="",1,0))</f>
        <v/>
      </c>
      <c r="R103" s="17" t="str">
        <f>IF(OR(TEXT(R$13,"ddd")="Sun",R$13="",$D103=""),"",IF('Leave Planner'!P104="",1,0))</f>
        <v/>
      </c>
      <c r="S103" s="17" t="str">
        <f>IF(OR(TEXT(S$13,"ddd")="Sun",S$13="",$D103=""),"",IF('Leave Planner'!Q104="",1,0))</f>
        <v/>
      </c>
      <c r="T103" s="17" t="str">
        <f>IF(OR(TEXT(T$13,"ddd")="Sun",T$13="",$D103=""),"",IF('Leave Planner'!R104="",1,0))</f>
        <v/>
      </c>
      <c r="U103" s="17" t="str">
        <f>IF(OR(TEXT(U$13,"ddd")="Sun",U$13="",$D103=""),"",IF('Leave Planner'!S104="",1,0))</f>
        <v/>
      </c>
      <c r="V103" s="17" t="str">
        <f>IF(OR(TEXT(V$13,"ddd")="Sun",V$13="",$D103=""),"",IF('Leave Planner'!T104="",1,0))</f>
        <v/>
      </c>
      <c r="W103" s="17" t="str">
        <f>IF(OR(TEXT(W$13,"ddd")="Sun",W$13="",$D103=""),"",IF('Leave Planner'!U104="",1,0))</f>
        <v/>
      </c>
      <c r="X103" s="17" t="str">
        <f>IF(OR(TEXT(X$13,"ddd")="Sun",X$13="",$D103=""),"",IF('Leave Planner'!V104="",1,0))</f>
        <v/>
      </c>
      <c r="Y103" s="17" t="str">
        <f>IF(OR(TEXT(Y$13,"ddd")="Sun",Y$13="",$D103=""),"",IF('Leave Planner'!W104="",1,0))</f>
        <v/>
      </c>
      <c r="Z103" s="17" t="str">
        <f>IF(OR(TEXT(Z$13,"ddd")="Sun",Z$13="",$D103=""),"",IF('Leave Planner'!X104="",1,0))</f>
        <v/>
      </c>
      <c r="AA103" s="17" t="str">
        <f>IF(OR(TEXT(AA$13,"ddd")="Sun",AA$13="",$D103=""),"",IF('Leave Planner'!Y104="",1,0))</f>
        <v/>
      </c>
      <c r="AB103" s="17" t="str">
        <f>IF(OR(TEXT(AB$13,"ddd")="Sun",AB$13="",$D103=""),"",IF('Leave Planner'!Z104="",1,0))</f>
        <v/>
      </c>
      <c r="AC103" s="17" t="str">
        <f>IF(OR(TEXT(AC$13,"ddd")="Sun",AC$13="",$D103=""),"",IF('Leave Planner'!AA104="",1,0))</f>
        <v/>
      </c>
      <c r="AD103" s="17" t="str">
        <f>IF(OR(TEXT(AD$13,"ddd")="Sun",AD$13="",$D103=""),"",IF('Leave Planner'!AB104="",1,0))</f>
        <v/>
      </c>
      <c r="AE103" s="17" t="str">
        <f>IF(OR(TEXT(AE$13,"ddd")="Sun",AE$13="",$D103=""),"",IF('Leave Planner'!AC104="",1,0))</f>
        <v/>
      </c>
      <c r="AF103" s="17" t="str">
        <f>IF(OR(TEXT(AF$13,"ddd")="Sun",AF$13="",$D103=""),"",IF('Leave Planner'!AD104="",1,0))</f>
        <v/>
      </c>
      <c r="AG103" s="17" t="str">
        <f>IF(OR(TEXT(AG$13,"ddd")="Sun",AG$13="",$D103=""),"",IF('Leave Planner'!AE104="",1,0))</f>
        <v/>
      </c>
      <c r="AH103" s="17" t="str">
        <f>IF(OR(TEXT(AH$13,"ddd")="Sun",AH$13="",$D103=""),"",IF('Leave Planner'!AF104="",1,0))</f>
        <v/>
      </c>
      <c r="AI103" s="17" t="str">
        <f>IF(OR(TEXT(AI$13,"ddd")="Sun",AI$13="",$D103=""),"",IF('Leave Planner'!AG104="",1,0))</f>
        <v/>
      </c>
      <c r="AJ103" s="17" t="str">
        <f>IF(OR(TEXT(AJ$13,"ddd")="Sun",AJ$13="",$D103=""),"",IF('Leave Planner'!AH104="",1,0))</f>
        <v/>
      </c>
    </row>
    <row r="104" spans="2:36" x14ac:dyDescent="0.75">
      <c r="B104" s="15"/>
      <c r="C104" s="22"/>
      <c r="D104" s="22"/>
      <c r="E104" s="42" t="str">
        <f t="shared" si="6"/>
        <v/>
      </c>
      <c r="F104" s="17" t="str">
        <f>IF(OR(TEXT(F$13,"ddd")="Sun",F$13="",$D104=""),"",IF('Leave Planner'!D105="",1,0))</f>
        <v/>
      </c>
      <c r="G104" s="17" t="str">
        <f>IF(OR(TEXT(G$13,"ddd")="Sun",G$13="",$D104=""),"",IF('Leave Planner'!E105="",1,0))</f>
        <v/>
      </c>
      <c r="H104" s="17" t="str">
        <f>IF(OR(TEXT(H$13,"ddd")="Sun",H$13="",$D104=""),"",IF('Leave Planner'!F105="",1,0))</f>
        <v/>
      </c>
      <c r="I104" s="17" t="str">
        <f>IF(OR(TEXT(I$13,"ddd")="Sun",I$13="",$D104=""),"",IF('Leave Planner'!G105="",1,0))</f>
        <v/>
      </c>
      <c r="J104" s="17" t="str">
        <f>IF(OR(TEXT(J$13,"ddd")="Sun",J$13="",$D104=""),"",IF('Leave Planner'!H105="",1,0))</f>
        <v/>
      </c>
      <c r="K104" s="17" t="str">
        <f>IF(OR(TEXT(K$13,"ddd")="Sun",K$13="",$D104=""),"",IF('Leave Planner'!I105="",1,0))</f>
        <v/>
      </c>
      <c r="L104" s="17" t="str">
        <f>IF(OR(TEXT(L$13,"ddd")="Sun",L$13="",$D104=""),"",IF('Leave Planner'!J105="",1,0))</f>
        <v/>
      </c>
      <c r="M104" s="17" t="str">
        <f>IF(OR(TEXT(M$13,"ddd")="Sun",M$13="",$D104=""),"",IF('Leave Planner'!K105="",1,0))</f>
        <v/>
      </c>
      <c r="N104" s="17" t="str">
        <f>IF(OR(TEXT(N$13,"ddd")="Sun",N$13="",$D104=""),"",IF('Leave Planner'!L105="",1,0))</f>
        <v/>
      </c>
      <c r="O104" s="17" t="str">
        <f>IF(OR(TEXT(O$13,"ddd")="Sun",O$13="",$D104=""),"",IF('Leave Planner'!M105="",1,0))</f>
        <v/>
      </c>
      <c r="P104" s="17" t="str">
        <f>IF(OR(TEXT(P$13,"ddd")="Sun",P$13="",$D104=""),"",IF('Leave Planner'!N105="",1,0))</f>
        <v/>
      </c>
      <c r="Q104" s="17" t="str">
        <f>IF(OR(TEXT(Q$13,"ddd")="Sun",Q$13="",$D104=""),"",IF('Leave Planner'!O105="",1,0))</f>
        <v/>
      </c>
      <c r="R104" s="17" t="str">
        <f>IF(OR(TEXT(R$13,"ddd")="Sun",R$13="",$D104=""),"",IF('Leave Planner'!P105="",1,0))</f>
        <v/>
      </c>
      <c r="S104" s="17" t="str">
        <f>IF(OR(TEXT(S$13,"ddd")="Sun",S$13="",$D104=""),"",IF('Leave Planner'!Q105="",1,0))</f>
        <v/>
      </c>
      <c r="T104" s="17" t="str">
        <f>IF(OR(TEXT(T$13,"ddd")="Sun",T$13="",$D104=""),"",IF('Leave Planner'!R105="",1,0))</f>
        <v/>
      </c>
      <c r="U104" s="17" t="str">
        <f>IF(OR(TEXT(U$13,"ddd")="Sun",U$13="",$D104=""),"",IF('Leave Planner'!S105="",1,0))</f>
        <v/>
      </c>
      <c r="V104" s="17" t="str">
        <f>IF(OR(TEXT(V$13,"ddd")="Sun",V$13="",$D104=""),"",IF('Leave Planner'!T105="",1,0))</f>
        <v/>
      </c>
      <c r="W104" s="17" t="str">
        <f>IF(OR(TEXT(W$13,"ddd")="Sun",W$13="",$D104=""),"",IF('Leave Planner'!U105="",1,0))</f>
        <v/>
      </c>
      <c r="X104" s="17" t="str">
        <f>IF(OR(TEXT(X$13,"ddd")="Sun",X$13="",$D104=""),"",IF('Leave Planner'!V105="",1,0))</f>
        <v/>
      </c>
      <c r="Y104" s="17" t="str">
        <f>IF(OR(TEXT(Y$13,"ddd")="Sun",Y$13="",$D104=""),"",IF('Leave Planner'!W105="",1,0))</f>
        <v/>
      </c>
      <c r="Z104" s="17" t="str">
        <f>IF(OR(TEXT(Z$13,"ddd")="Sun",Z$13="",$D104=""),"",IF('Leave Planner'!X105="",1,0))</f>
        <v/>
      </c>
      <c r="AA104" s="17" t="str">
        <f>IF(OR(TEXT(AA$13,"ddd")="Sun",AA$13="",$D104=""),"",IF('Leave Planner'!Y105="",1,0))</f>
        <v/>
      </c>
      <c r="AB104" s="17" t="str">
        <f>IF(OR(TEXT(AB$13,"ddd")="Sun",AB$13="",$D104=""),"",IF('Leave Planner'!Z105="",1,0))</f>
        <v/>
      </c>
      <c r="AC104" s="17" t="str">
        <f>IF(OR(TEXT(AC$13,"ddd")="Sun",AC$13="",$D104=""),"",IF('Leave Planner'!AA105="",1,0))</f>
        <v/>
      </c>
      <c r="AD104" s="17" t="str">
        <f>IF(OR(TEXT(AD$13,"ddd")="Sun",AD$13="",$D104=""),"",IF('Leave Planner'!AB105="",1,0))</f>
        <v/>
      </c>
      <c r="AE104" s="17" t="str">
        <f>IF(OR(TEXT(AE$13,"ddd")="Sun",AE$13="",$D104=""),"",IF('Leave Planner'!AC105="",1,0))</f>
        <v/>
      </c>
      <c r="AF104" s="17" t="str">
        <f>IF(OR(TEXT(AF$13,"ddd")="Sun",AF$13="",$D104=""),"",IF('Leave Planner'!AD105="",1,0))</f>
        <v/>
      </c>
      <c r="AG104" s="17" t="str">
        <f>IF(OR(TEXT(AG$13,"ddd")="Sun",AG$13="",$D104=""),"",IF('Leave Planner'!AE105="",1,0))</f>
        <v/>
      </c>
      <c r="AH104" s="17" t="str">
        <f>IF(OR(TEXT(AH$13,"ddd")="Sun",AH$13="",$D104=""),"",IF('Leave Planner'!AF105="",1,0))</f>
        <v/>
      </c>
      <c r="AI104" s="17" t="str">
        <f>IF(OR(TEXT(AI$13,"ddd")="Sun",AI$13="",$D104=""),"",IF('Leave Planner'!AG105="",1,0))</f>
        <v/>
      </c>
      <c r="AJ104" s="17" t="str">
        <f>IF(OR(TEXT(AJ$13,"ddd")="Sun",AJ$13="",$D104=""),"",IF('Leave Planner'!AH105="",1,0))</f>
        <v/>
      </c>
    </row>
    <row r="105" spans="2:36" x14ac:dyDescent="0.75">
      <c r="B105" s="15"/>
      <c r="C105" s="22"/>
      <c r="D105" s="22"/>
      <c r="E105" s="42" t="str">
        <f t="shared" si="6"/>
        <v/>
      </c>
      <c r="F105" s="17" t="str">
        <f>IF(OR(TEXT(F$13,"ddd")="Sun",F$13="",$D105=""),"",IF('Leave Planner'!D106="",1,0))</f>
        <v/>
      </c>
      <c r="G105" s="17" t="str">
        <f>IF(OR(TEXT(G$13,"ddd")="Sun",G$13="",$D105=""),"",IF('Leave Planner'!E106="",1,0))</f>
        <v/>
      </c>
      <c r="H105" s="17" t="str">
        <f>IF(OR(TEXT(H$13,"ddd")="Sun",H$13="",$D105=""),"",IF('Leave Planner'!F106="",1,0))</f>
        <v/>
      </c>
      <c r="I105" s="17" t="str">
        <f>IF(OR(TEXT(I$13,"ddd")="Sun",I$13="",$D105=""),"",IF('Leave Planner'!G106="",1,0))</f>
        <v/>
      </c>
      <c r="J105" s="17" t="str">
        <f>IF(OR(TEXT(J$13,"ddd")="Sun",J$13="",$D105=""),"",IF('Leave Planner'!H106="",1,0))</f>
        <v/>
      </c>
      <c r="K105" s="17" t="str">
        <f>IF(OR(TEXT(K$13,"ddd")="Sun",K$13="",$D105=""),"",IF('Leave Planner'!I106="",1,0))</f>
        <v/>
      </c>
      <c r="L105" s="17" t="str">
        <f>IF(OR(TEXT(L$13,"ddd")="Sun",L$13="",$D105=""),"",IF('Leave Planner'!J106="",1,0))</f>
        <v/>
      </c>
      <c r="M105" s="17" t="str">
        <f>IF(OR(TEXT(M$13,"ddd")="Sun",M$13="",$D105=""),"",IF('Leave Planner'!K106="",1,0))</f>
        <v/>
      </c>
      <c r="N105" s="17" t="str">
        <f>IF(OR(TEXT(N$13,"ddd")="Sun",N$13="",$D105=""),"",IF('Leave Planner'!L106="",1,0))</f>
        <v/>
      </c>
      <c r="O105" s="17" t="str">
        <f>IF(OR(TEXT(O$13,"ddd")="Sun",O$13="",$D105=""),"",IF('Leave Planner'!M106="",1,0))</f>
        <v/>
      </c>
      <c r="P105" s="17" t="str">
        <f>IF(OR(TEXT(P$13,"ddd")="Sun",P$13="",$D105=""),"",IF('Leave Planner'!N106="",1,0))</f>
        <v/>
      </c>
      <c r="Q105" s="17" t="str">
        <f>IF(OR(TEXT(Q$13,"ddd")="Sun",Q$13="",$D105=""),"",IF('Leave Planner'!O106="",1,0))</f>
        <v/>
      </c>
      <c r="R105" s="17" t="str">
        <f>IF(OR(TEXT(R$13,"ddd")="Sun",R$13="",$D105=""),"",IF('Leave Planner'!P106="",1,0))</f>
        <v/>
      </c>
      <c r="S105" s="17" t="str">
        <f>IF(OR(TEXT(S$13,"ddd")="Sun",S$13="",$D105=""),"",IF('Leave Planner'!Q106="",1,0))</f>
        <v/>
      </c>
      <c r="T105" s="17" t="str">
        <f>IF(OR(TEXT(T$13,"ddd")="Sun",T$13="",$D105=""),"",IF('Leave Planner'!R106="",1,0))</f>
        <v/>
      </c>
      <c r="U105" s="17" t="str">
        <f>IF(OR(TEXT(U$13,"ddd")="Sun",U$13="",$D105=""),"",IF('Leave Planner'!S106="",1,0))</f>
        <v/>
      </c>
      <c r="V105" s="17" t="str">
        <f>IF(OR(TEXT(V$13,"ddd")="Sun",V$13="",$D105=""),"",IF('Leave Planner'!T106="",1,0))</f>
        <v/>
      </c>
      <c r="W105" s="17" t="str">
        <f>IF(OR(TEXT(W$13,"ddd")="Sun",W$13="",$D105=""),"",IF('Leave Planner'!U106="",1,0))</f>
        <v/>
      </c>
      <c r="X105" s="17" t="str">
        <f>IF(OR(TEXT(X$13,"ddd")="Sun",X$13="",$D105=""),"",IF('Leave Planner'!V106="",1,0))</f>
        <v/>
      </c>
      <c r="Y105" s="17" t="str">
        <f>IF(OR(TEXT(Y$13,"ddd")="Sun",Y$13="",$D105=""),"",IF('Leave Planner'!W106="",1,0))</f>
        <v/>
      </c>
      <c r="Z105" s="17" t="str">
        <f>IF(OR(TEXT(Z$13,"ddd")="Sun",Z$13="",$D105=""),"",IF('Leave Planner'!X106="",1,0))</f>
        <v/>
      </c>
      <c r="AA105" s="17" t="str">
        <f>IF(OR(TEXT(AA$13,"ddd")="Sun",AA$13="",$D105=""),"",IF('Leave Planner'!Y106="",1,0))</f>
        <v/>
      </c>
      <c r="AB105" s="17" t="str">
        <f>IF(OR(TEXT(AB$13,"ddd")="Sun",AB$13="",$D105=""),"",IF('Leave Planner'!Z106="",1,0))</f>
        <v/>
      </c>
      <c r="AC105" s="17" t="str">
        <f>IF(OR(TEXT(AC$13,"ddd")="Sun",AC$13="",$D105=""),"",IF('Leave Planner'!AA106="",1,0))</f>
        <v/>
      </c>
      <c r="AD105" s="17" t="str">
        <f>IF(OR(TEXT(AD$13,"ddd")="Sun",AD$13="",$D105=""),"",IF('Leave Planner'!AB106="",1,0))</f>
        <v/>
      </c>
      <c r="AE105" s="17" t="str">
        <f>IF(OR(TEXT(AE$13,"ddd")="Sun",AE$13="",$D105=""),"",IF('Leave Planner'!AC106="",1,0))</f>
        <v/>
      </c>
      <c r="AF105" s="17" t="str">
        <f>IF(OR(TEXT(AF$13,"ddd")="Sun",AF$13="",$D105=""),"",IF('Leave Planner'!AD106="",1,0))</f>
        <v/>
      </c>
      <c r="AG105" s="17" t="str">
        <f>IF(OR(TEXT(AG$13,"ddd")="Sun",AG$13="",$D105=""),"",IF('Leave Planner'!AE106="",1,0))</f>
        <v/>
      </c>
      <c r="AH105" s="17" t="str">
        <f>IF(OR(TEXT(AH$13,"ddd")="Sun",AH$13="",$D105=""),"",IF('Leave Planner'!AF106="",1,0))</f>
        <v/>
      </c>
      <c r="AI105" s="17" t="str">
        <f>IF(OR(TEXT(AI$13,"ddd")="Sun",AI$13="",$D105=""),"",IF('Leave Planner'!AG106="",1,0))</f>
        <v/>
      </c>
      <c r="AJ105" s="17" t="str">
        <f>IF(OR(TEXT(AJ$13,"ddd")="Sun",AJ$13="",$D105=""),"",IF('Leave Planner'!AH106="",1,0))</f>
        <v/>
      </c>
    </row>
    <row r="106" spans="2:36" x14ac:dyDescent="0.75">
      <c r="B106" s="15"/>
      <c r="C106" s="22"/>
      <c r="D106" s="22"/>
      <c r="E106" s="42" t="str">
        <f t="shared" si="6"/>
        <v/>
      </c>
      <c r="F106" s="17" t="str">
        <f>IF(OR(TEXT(F$13,"ddd")="Sun",F$13="",$D106=""),"",IF('Leave Planner'!D107="",1,0))</f>
        <v/>
      </c>
      <c r="G106" s="17" t="str">
        <f>IF(OR(TEXT(G$13,"ddd")="Sun",G$13="",$D106=""),"",IF('Leave Planner'!E107="",1,0))</f>
        <v/>
      </c>
      <c r="H106" s="17" t="str">
        <f>IF(OR(TEXT(H$13,"ddd")="Sun",H$13="",$D106=""),"",IF('Leave Planner'!F107="",1,0))</f>
        <v/>
      </c>
      <c r="I106" s="17" t="str">
        <f>IF(OR(TEXT(I$13,"ddd")="Sun",I$13="",$D106=""),"",IF('Leave Planner'!G107="",1,0))</f>
        <v/>
      </c>
      <c r="J106" s="17" t="str">
        <f>IF(OR(TEXT(J$13,"ddd")="Sun",J$13="",$D106=""),"",IF('Leave Planner'!H107="",1,0))</f>
        <v/>
      </c>
      <c r="K106" s="17" t="str">
        <f>IF(OR(TEXT(K$13,"ddd")="Sun",K$13="",$D106=""),"",IF('Leave Planner'!I107="",1,0))</f>
        <v/>
      </c>
      <c r="L106" s="17" t="str">
        <f>IF(OR(TEXT(L$13,"ddd")="Sun",L$13="",$D106=""),"",IF('Leave Planner'!J107="",1,0))</f>
        <v/>
      </c>
      <c r="M106" s="17" t="str">
        <f>IF(OR(TEXT(M$13,"ddd")="Sun",M$13="",$D106=""),"",IF('Leave Planner'!K107="",1,0))</f>
        <v/>
      </c>
      <c r="N106" s="17" t="str">
        <f>IF(OR(TEXT(N$13,"ddd")="Sun",N$13="",$D106=""),"",IF('Leave Planner'!L107="",1,0))</f>
        <v/>
      </c>
      <c r="O106" s="17" t="str">
        <f>IF(OR(TEXT(O$13,"ddd")="Sun",O$13="",$D106=""),"",IF('Leave Planner'!M107="",1,0))</f>
        <v/>
      </c>
      <c r="P106" s="17" t="str">
        <f>IF(OR(TEXT(P$13,"ddd")="Sun",P$13="",$D106=""),"",IF('Leave Planner'!N107="",1,0))</f>
        <v/>
      </c>
      <c r="Q106" s="17" t="str">
        <f>IF(OR(TEXT(Q$13,"ddd")="Sun",Q$13="",$D106=""),"",IF('Leave Planner'!O107="",1,0))</f>
        <v/>
      </c>
      <c r="R106" s="17" t="str">
        <f>IF(OR(TEXT(R$13,"ddd")="Sun",R$13="",$D106=""),"",IF('Leave Planner'!P107="",1,0))</f>
        <v/>
      </c>
      <c r="S106" s="17" t="str">
        <f>IF(OR(TEXT(S$13,"ddd")="Sun",S$13="",$D106=""),"",IF('Leave Planner'!Q107="",1,0))</f>
        <v/>
      </c>
      <c r="T106" s="17" t="str">
        <f>IF(OR(TEXT(T$13,"ddd")="Sun",T$13="",$D106=""),"",IF('Leave Planner'!R107="",1,0))</f>
        <v/>
      </c>
      <c r="U106" s="17" t="str">
        <f>IF(OR(TEXT(U$13,"ddd")="Sun",U$13="",$D106=""),"",IF('Leave Planner'!S107="",1,0))</f>
        <v/>
      </c>
      <c r="V106" s="17" t="str">
        <f>IF(OR(TEXT(V$13,"ddd")="Sun",V$13="",$D106=""),"",IF('Leave Planner'!T107="",1,0))</f>
        <v/>
      </c>
      <c r="W106" s="17" t="str">
        <f>IF(OR(TEXT(W$13,"ddd")="Sun",W$13="",$D106=""),"",IF('Leave Planner'!U107="",1,0))</f>
        <v/>
      </c>
      <c r="X106" s="17" t="str">
        <f>IF(OR(TEXT(X$13,"ddd")="Sun",X$13="",$D106=""),"",IF('Leave Planner'!V107="",1,0))</f>
        <v/>
      </c>
      <c r="Y106" s="17" t="str">
        <f>IF(OR(TEXT(Y$13,"ddd")="Sun",Y$13="",$D106=""),"",IF('Leave Planner'!W107="",1,0))</f>
        <v/>
      </c>
      <c r="Z106" s="17" t="str">
        <f>IF(OR(TEXT(Z$13,"ddd")="Sun",Z$13="",$D106=""),"",IF('Leave Planner'!X107="",1,0))</f>
        <v/>
      </c>
      <c r="AA106" s="17" t="str">
        <f>IF(OR(TEXT(AA$13,"ddd")="Sun",AA$13="",$D106=""),"",IF('Leave Planner'!Y107="",1,0))</f>
        <v/>
      </c>
      <c r="AB106" s="17" t="str">
        <f>IF(OR(TEXT(AB$13,"ddd")="Sun",AB$13="",$D106=""),"",IF('Leave Planner'!Z107="",1,0))</f>
        <v/>
      </c>
      <c r="AC106" s="17" t="str">
        <f>IF(OR(TEXT(AC$13,"ddd")="Sun",AC$13="",$D106=""),"",IF('Leave Planner'!AA107="",1,0))</f>
        <v/>
      </c>
      <c r="AD106" s="17" t="str">
        <f>IF(OR(TEXT(AD$13,"ddd")="Sun",AD$13="",$D106=""),"",IF('Leave Planner'!AB107="",1,0))</f>
        <v/>
      </c>
      <c r="AE106" s="17" t="str">
        <f>IF(OR(TEXT(AE$13,"ddd")="Sun",AE$13="",$D106=""),"",IF('Leave Planner'!AC107="",1,0))</f>
        <v/>
      </c>
      <c r="AF106" s="17" t="str">
        <f>IF(OR(TEXT(AF$13,"ddd")="Sun",AF$13="",$D106=""),"",IF('Leave Planner'!AD107="",1,0))</f>
        <v/>
      </c>
      <c r="AG106" s="17" t="str">
        <f>IF(OR(TEXT(AG$13,"ddd")="Sun",AG$13="",$D106=""),"",IF('Leave Planner'!AE107="",1,0))</f>
        <v/>
      </c>
      <c r="AH106" s="17" t="str">
        <f>IF(OR(TEXT(AH$13,"ddd")="Sun",AH$13="",$D106=""),"",IF('Leave Planner'!AF107="",1,0))</f>
        <v/>
      </c>
      <c r="AI106" s="17" t="str">
        <f>IF(OR(TEXT(AI$13,"ddd")="Sun",AI$13="",$D106=""),"",IF('Leave Planner'!AG107="",1,0))</f>
        <v/>
      </c>
      <c r="AJ106" s="17" t="str">
        <f>IF(OR(TEXT(AJ$13,"ddd")="Sun",AJ$13="",$D106=""),"",IF('Leave Planner'!AH107="",1,0))</f>
        <v/>
      </c>
    </row>
    <row r="107" spans="2:36" x14ac:dyDescent="0.75">
      <c r="B107" s="15"/>
      <c r="C107" s="22"/>
      <c r="D107" s="22"/>
      <c r="E107" s="42" t="str">
        <f t="shared" si="6"/>
        <v/>
      </c>
      <c r="F107" s="17" t="str">
        <f>IF(OR(TEXT(F$13,"ddd")="Sun",F$13="",$D107=""),"",IF('Leave Planner'!D108="",1,0))</f>
        <v/>
      </c>
      <c r="G107" s="17" t="str">
        <f>IF(OR(TEXT(G$13,"ddd")="Sun",G$13="",$D107=""),"",IF('Leave Planner'!E108="",1,0))</f>
        <v/>
      </c>
      <c r="H107" s="17" t="str">
        <f>IF(OR(TEXT(H$13,"ddd")="Sun",H$13="",$D107=""),"",IF('Leave Planner'!F108="",1,0))</f>
        <v/>
      </c>
      <c r="I107" s="17" t="str">
        <f>IF(OR(TEXT(I$13,"ddd")="Sun",I$13="",$D107=""),"",IF('Leave Planner'!G108="",1,0))</f>
        <v/>
      </c>
      <c r="J107" s="17" t="str">
        <f>IF(OR(TEXT(J$13,"ddd")="Sun",J$13="",$D107=""),"",IF('Leave Planner'!H108="",1,0))</f>
        <v/>
      </c>
      <c r="K107" s="17" t="str">
        <f>IF(OR(TEXT(K$13,"ddd")="Sun",K$13="",$D107=""),"",IF('Leave Planner'!I108="",1,0))</f>
        <v/>
      </c>
      <c r="L107" s="17" t="str">
        <f>IF(OR(TEXT(L$13,"ddd")="Sun",L$13="",$D107=""),"",IF('Leave Planner'!J108="",1,0))</f>
        <v/>
      </c>
      <c r="M107" s="17" t="str">
        <f>IF(OR(TEXT(M$13,"ddd")="Sun",M$13="",$D107=""),"",IF('Leave Planner'!K108="",1,0))</f>
        <v/>
      </c>
      <c r="N107" s="17" t="str">
        <f>IF(OR(TEXT(N$13,"ddd")="Sun",N$13="",$D107=""),"",IF('Leave Planner'!L108="",1,0))</f>
        <v/>
      </c>
      <c r="O107" s="17" t="str">
        <f>IF(OR(TEXT(O$13,"ddd")="Sun",O$13="",$D107=""),"",IF('Leave Planner'!M108="",1,0))</f>
        <v/>
      </c>
      <c r="P107" s="17" t="str">
        <f>IF(OR(TEXT(P$13,"ddd")="Sun",P$13="",$D107=""),"",IF('Leave Planner'!N108="",1,0))</f>
        <v/>
      </c>
      <c r="Q107" s="17" t="str">
        <f>IF(OR(TEXT(Q$13,"ddd")="Sun",Q$13="",$D107=""),"",IF('Leave Planner'!O108="",1,0))</f>
        <v/>
      </c>
      <c r="R107" s="17" t="str">
        <f>IF(OR(TEXT(R$13,"ddd")="Sun",R$13="",$D107=""),"",IF('Leave Planner'!P108="",1,0))</f>
        <v/>
      </c>
      <c r="S107" s="17" t="str">
        <f>IF(OR(TEXT(S$13,"ddd")="Sun",S$13="",$D107=""),"",IF('Leave Planner'!Q108="",1,0))</f>
        <v/>
      </c>
      <c r="T107" s="17" t="str">
        <f>IF(OR(TEXT(T$13,"ddd")="Sun",T$13="",$D107=""),"",IF('Leave Planner'!R108="",1,0))</f>
        <v/>
      </c>
      <c r="U107" s="17" t="str">
        <f>IF(OR(TEXT(U$13,"ddd")="Sun",U$13="",$D107=""),"",IF('Leave Planner'!S108="",1,0))</f>
        <v/>
      </c>
      <c r="V107" s="17" t="str">
        <f>IF(OR(TEXT(V$13,"ddd")="Sun",V$13="",$D107=""),"",IF('Leave Planner'!T108="",1,0))</f>
        <v/>
      </c>
      <c r="W107" s="17" t="str">
        <f>IF(OR(TEXT(W$13,"ddd")="Sun",W$13="",$D107=""),"",IF('Leave Planner'!U108="",1,0))</f>
        <v/>
      </c>
      <c r="X107" s="17" t="str">
        <f>IF(OR(TEXT(X$13,"ddd")="Sun",X$13="",$D107=""),"",IF('Leave Planner'!V108="",1,0))</f>
        <v/>
      </c>
      <c r="Y107" s="17" t="str">
        <f>IF(OR(TEXT(Y$13,"ddd")="Sun",Y$13="",$D107=""),"",IF('Leave Planner'!W108="",1,0))</f>
        <v/>
      </c>
      <c r="Z107" s="17" t="str">
        <f>IF(OR(TEXT(Z$13,"ddd")="Sun",Z$13="",$D107=""),"",IF('Leave Planner'!X108="",1,0))</f>
        <v/>
      </c>
      <c r="AA107" s="17" t="str">
        <f>IF(OR(TEXT(AA$13,"ddd")="Sun",AA$13="",$D107=""),"",IF('Leave Planner'!Y108="",1,0))</f>
        <v/>
      </c>
      <c r="AB107" s="17" t="str">
        <f>IF(OR(TEXT(AB$13,"ddd")="Sun",AB$13="",$D107=""),"",IF('Leave Planner'!Z108="",1,0))</f>
        <v/>
      </c>
      <c r="AC107" s="17" t="str">
        <f>IF(OR(TEXT(AC$13,"ddd")="Sun",AC$13="",$D107=""),"",IF('Leave Planner'!AA108="",1,0))</f>
        <v/>
      </c>
      <c r="AD107" s="17" t="str">
        <f>IF(OR(TEXT(AD$13,"ddd")="Sun",AD$13="",$D107=""),"",IF('Leave Planner'!AB108="",1,0))</f>
        <v/>
      </c>
      <c r="AE107" s="17" t="str">
        <f>IF(OR(TEXT(AE$13,"ddd")="Sun",AE$13="",$D107=""),"",IF('Leave Planner'!AC108="",1,0))</f>
        <v/>
      </c>
      <c r="AF107" s="17" t="str">
        <f>IF(OR(TEXT(AF$13,"ddd")="Sun",AF$13="",$D107=""),"",IF('Leave Planner'!AD108="",1,0))</f>
        <v/>
      </c>
      <c r="AG107" s="17" t="str">
        <f>IF(OR(TEXT(AG$13,"ddd")="Sun",AG$13="",$D107=""),"",IF('Leave Planner'!AE108="",1,0))</f>
        <v/>
      </c>
      <c r="AH107" s="17" t="str">
        <f>IF(OR(TEXT(AH$13,"ddd")="Sun",AH$13="",$D107=""),"",IF('Leave Planner'!AF108="",1,0))</f>
        <v/>
      </c>
      <c r="AI107" s="17" t="str">
        <f>IF(OR(TEXT(AI$13,"ddd")="Sun",AI$13="",$D107=""),"",IF('Leave Planner'!AG108="",1,0))</f>
        <v/>
      </c>
      <c r="AJ107" s="17" t="str">
        <f>IF(OR(TEXT(AJ$13,"ddd")="Sun",AJ$13="",$D107=""),"",IF('Leave Planner'!AH108="",1,0))</f>
        <v/>
      </c>
    </row>
    <row r="108" spans="2:36" x14ac:dyDescent="0.75">
      <c r="B108" s="15"/>
      <c r="C108" s="22"/>
      <c r="D108" s="22"/>
      <c r="E108" s="42" t="str">
        <f t="shared" si="6"/>
        <v/>
      </c>
      <c r="F108" s="17" t="str">
        <f>IF(OR(TEXT(F$13,"ddd")="Sun",F$13="",$D108=""),"",IF('Leave Planner'!D109="",1,0))</f>
        <v/>
      </c>
      <c r="G108" s="17" t="str">
        <f>IF(OR(TEXT(G$13,"ddd")="Sun",G$13="",$D108=""),"",IF('Leave Planner'!E109="",1,0))</f>
        <v/>
      </c>
      <c r="H108" s="17" t="str">
        <f>IF(OR(TEXT(H$13,"ddd")="Sun",H$13="",$D108=""),"",IF('Leave Planner'!F109="",1,0))</f>
        <v/>
      </c>
      <c r="I108" s="17" t="str">
        <f>IF(OR(TEXT(I$13,"ddd")="Sun",I$13="",$D108=""),"",IF('Leave Planner'!G109="",1,0))</f>
        <v/>
      </c>
      <c r="J108" s="17" t="str">
        <f>IF(OR(TEXT(J$13,"ddd")="Sun",J$13="",$D108=""),"",IF('Leave Planner'!H109="",1,0))</f>
        <v/>
      </c>
      <c r="K108" s="17" t="str">
        <f>IF(OR(TEXT(K$13,"ddd")="Sun",K$13="",$D108=""),"",IF('Leave Planner'!I109="",1,0))</f>
        <v/>
      </c>
      <c r="L108" s="17" t="str">
        <f>IF(OR(TEXT(L$13,"ddd")="Sun",L$13="",$D108=""),"",IF('Leave Planner'!J109="",1,0))</f>
        <v/>
      </c>
      <c r="M108" s="17" t="str">
        <f>IF(OR(TEXT(M$13,"ddd")="Sun",M$13="",$D108=""),"",IF('Leave Planner'!K109="",1,0))</f>
        <v/>
      </c>
      <c r="N108" s="17" t="str">
        <f>IF(OR(TEXT(N$13,"ddd")="Sun",N$13="",$D108=""),"",IF('Leave Planner'!L109="",1,0))</f>
        <v/>
      </c>
      <c r="O108" s="17" t="str">
        <f>IF(OR(TEXT(O$13,"ddd")="Sun",O$13="",$D108=""),"",IF('Leave Planner'!M109="",1,0))</f>
        <v/>
      </c>
      <c r="P108" s="17" t="str">
        <f>IF(OR(TEXT(P$13,"ddd")="Sun",P$13="",$D108=""),"",IF('Leave Planner'!N109="",1,0))</f>
        <v/>
      </c>
      <c r="Q108" s="17" t="str">
        <f>IF(OR(TEXT(Q$13,"ddd")="Sun",Q$13="",$D108=""),"",IF('Leave Planner'!O109="",1,0))</f>
        <v/>
      </c>
      <c r="R108" s="17" t="str">
        <f>IF(OR(TEXT(R$13,"ddd")="Sun",R$13="",$D108=""),"",IF('Leave Planner'!P109="",1,0))</f>
        <v/>
      </c>
      <c r="S108" s="17" t="str">
        <f>IF(OR(TEXT(S$13,"ddd")="Sun",S$13="",$D108=""),"",IF('Leave Planner'!Q109="",1,0))</f>
        <v/>
      </c>
      <c r="T108" s="17" t="str">
        <f>IF(OR(TEXT(T$13,"ddd")="Sun",T$13="",$D108=""),"",IF('Leave Planner'!R109="",1,0))</f>
        <v/>
      </c>
      <c r="U108" s="17" t="str">
        <f>IF(OR(TEXT(U$13,"ddd")="Sun",U$13="",$D108=""),"",IF('Leave Planner'!S109="",1,0))</f>
        <v/>
      </c>
      <c r="V108" s="17" t="str">
        <f>IF(OR(TEXT(V$13,"ddd")="Sun",V$13="",$D108=""),"",IF('Leave Planner'!T109="",1,0))</f>
        <v/>
      </c>
      <c r="W108" s="17" t="str">
        <f>IF(OR(TEXT(W$13,"ddd")="Sun",W$13="",$D108=""),"",IF('Leave Planner'!U109="",1,0))</f>
        <v/>
      </c>
      <c r="X108" s="17" t="str">
        <f>IF(OR(TEXT(X$13,"ddd")="Sun",X$13="",$D108=""),"",IF('Leave Planner'!V109="",1,0))</f>
        <v/>
      </c>
      <c r="Y108" s="17" t="str">
        <f>IF(OR(TEXT(Y$13,"ddd")="Sun",Y$13="",$D108=""),"",IF('Leave Planner'!W109="",1,0))</f>
        <v/>
      </c>
      <c r="Z108" s="17" t="str">
        <f>IF(OR(TEXT(Z$13,"ddd")="Sun",Z$13="",$D108=""),"",IF('Leave Planner'!X109="",1,0))</f>
        <v/>
      </c>
      <c r="AA108" s="17" t="str">
        <f>IF(OR(TEXT(AA$13,"ddd")="Sun",AA$13="",$D108=""),"",IF('Leave Planner'!Y109="",1,0))</f>
        <v/>
      </c>
      <c r="AB108" s="17" t="str">
        <f>IF(OR(TEXT(AB$13,"ddd")="Sun",AB$13="",$D108=""),"",IF('Leave Planner'!Z109="",1,0))</f>
        <v/>
      </c>
      <c r="AC108" s="17" t="str">
        <f>IF(OR(TEXT(AC$13,"ddd")="Sun",AC$13="",$D108=""),"",IF('Leave Planner'!AA109="",1,0))</f>
        <v/>
      </c>
      <c r="AD108" s="17" t="str">
        <f>IF(OR(TEXT(AD$13,"ddd")="Sun",AD$13="",$D108=""),"",IF('Leave Planner'!AB109="",1,0))</f>
        <v/>
      </c>
      <c r="AE108" s="17" t="str">
        <f>IF(OR(TEXT(AE$13,"ddd")="Sun",AE$13="",$D108=""),"",IF('Leave Planner'!AC109="",1,0))</f>
        <v/>
      </c>
      <c r="AF108" s="17" t="str">
        <f>IF(OR(TEXT(AF$13,"ddd")="Sun",AF$13="",$D108=""),"",IF('Leave Planner'!AD109="",1,0))</f>
        <v/>
      </c>
      <c r="AG108" s="17" t="str">
        <f>IF(OR(TEXT(AG$13,"ddd")="Sun",AG$13="",$D108=""),"",IF('Leave Planner'!AE109="",1,0))</f>
        <v/>
      </c>
      <c r="AH108" s="17" t="str">
        <f>IF(OR(TEXT(AH$13,"ddd")="Sun",AH$13="",$D108=""),"",IF('Leave Planner'!AF109="",1,0))</f>
        <v/>
      </c>
      <c r="AI108" s="17" t="str">
        <f>IF(OR(TEXT(AI$13,"ddd")="Sun",AI$13="",$D108=""),"",IF('Leave Planner'!AG109="",1,0))</f>
        <v/>
      </c>
      <c r="AJ108" s="17" t="str">
        <f>IF(OR(TEXT(AJ$13,"ddd")="Sun",AJ$13="",$D108=""),"",IF('Leave Planner'!AH109="",1,0))</f>
        <v/>
      </c>
    </row>
    <row r="109" spans="2:36" x14ac:dyDescent="0.75">
      <c r="B109" s="15"/>
      <c r="C109" s="22"/>
      <c r="D109" s="22"/>
      <c r="E109" s="42" t="str">
        <f t="shared" si="6"/>
        <v/>
      </c>
      <c r="F109" s="17" t="str">
        <f>IF(OR(TEXT(F$13,"ddd")="Sun",F$13="",$D109=""),"",IF('Leave Planner'!D110="",1,0))</f>
        <v/>
      </c>
      <c r="G109" s="17" t="str">
        <f>IF(OR(TEXT(G$13,"ddd")="Sun",G$13="",$D109=""),"",IF('Leave Planner'!E110="",1,0))</f>
        <v/>
      </c>
      <c r="H109" s="17" t="str">
        <f>IF(OR(TEXT(H$13,"ddd")="Sun",H$13="",$D109=""),"",IF('Leave Planner'!F110="",1,0))</f>
        <v/>
      </c>
      <c r="I109" s="17" t="str">
        <f>IF(OR(TEXT(I$13,"ddd")="Sun",I$13="",$D109=""),"",IF('Leave Planner'!G110="",1,0))</f>
        <v/>
      </c>
      <c r="J109" s="17" t="str">
        <f>IF(OR(TEXT(J$13,"ddd")="Sun",J$13="",$D109=""),"",IF('Leave Planner'!H110="",1,0))</f>
        <v/>
      </c>
      <c r="K109" s="17" t="str">
        <f>IF(OR(TEXT(K$13,"ddd")="Sun",K$13="",$D109=""),"",IF('Leave Planner'!I110="",1,0))</f>
        <v/>
      </c>
      <c r="L109" s="17" t="str">
        <f>IF(OR(TEXT(L$13,"ddd")="Sun",L$13="",$D109=""),"",IF('Leave Planner'!J110="",1,0))</f>
        <v/>
      </c>
      <c r="M109" s="17" t="str">
        <f>IF(OR(TEXT(M$13,"ddd")="Sun",M$13="",$D109=""),"",IF('Leave Planner'!K110="",1,0))</f>
        <v/>
      </c>
      <c r="N109" s="17" t="str">
        <f>IF(OR(TEXT(N$13,"ddd")="Sun",N$13="",$D109=""),"",IF('Leave Planner'!L110="",1,0))</f>
        <v/>
      </c>
      <c r="O109" s="17" t="str">
        <f>IF(OR(TEXT(O$13,"ddd")="Sun",O$13="",$D109=""),"",IF('Leave Planner'!M110="",1,0))</f>
        <v/>
      </c>
      <c r="P109" s="17" t="str">
        <f>IF(OR(TEXT(P$13,"ddd")="Sun",P$13="",$D109=""),"",IF('Leave Planner'!N110="",1,0))</f>
        <v/>
      </c>
      <c r="Q109" s="17" t="str">
        <f>IF(OR(TEXT(Q$13,"ddd")="Sun",Q$13="",$D109=""),"",IF('Leave Planner'!O110="",1,0))</f>
        <v/>
      </c>
      <c r="R109" s="17" t="str">
        <f>IF(OR(TEXT(R$13,"ddd")="Sun",R$13="",$D109=""),"",IF('Leave Planner'!P110="",1,0))</f>
        <v/>
      </c>
      <c r="S109" s="17" t="str">
        <f>IF(OR(TEXT(S$13,"ddd")="Sun",S$13="",$D109=""),"",IF('Leave Planner'!Q110="",1,0))</f>
        <v/>
      </c>
      <c r="T109" s="17" t="str">
        <f>IF(OR(TEXT(T$13,"ddd")="Sun",T$13="",$D109=""),"",IF('Leave Planner'!R110="",1,0))</f>
        <v/>
      </c>
      <c r="U109" s="17" t="str">
        <f>IF(OR(TEXT(U$13,"ddd")="Sun",U$13="",$D109=""),"",IF('Leave Planner'!S110="",1,0))</f>
        <v/>
      </c>
      <c r="V109" s="17" t="str">
        <f>IF(OR(TEXT(V$13,"ddd")="Sun",V$13="",$D109=""),"",IF('Leave Planner'!T110="",1,0))</f>
        <v/>
      </c>
      <c r="W109" s="17" t="str">
        <f>IF(OR(TEXT(W$13,"ddd")="Sun",W$13="",$D109=""),"",IF('Leave Planner'!U110="",1,0))</f>
        <v/>
      </c>
      <c r="X109" s="17" t="str">
        <f>IF(OR(TEXT(X$13,"ddd")="Sun",X$13="",$D109=""),"",IF('Leave Planner'!V110="",1,0))</f>
        <v/>
      </c>
      <c r="Y109" s="17" t="str">
        <f>IF(OR(TEXT(Y$13,"ddd")="Sun",Y$13="",$D109=""),"",IF('Leave Planner'!W110="",1,0))</f>
        <v/>
      </c>
      <c r="Z109" s="17" t="str">
        <f>IF(OR(TEXT(Z$13,"ddd")="Sun",Z$13="",$D109=""),"",IF('Leave Planner'!X110="",1,0))</f>
        <v/>
      </c>
      <c r="AA109" s="17" t="str">
        <f>IF(OR(TEXT(AA$13,"ddd")="Sun",AA$13="",$D109=""),"",IF('Leave Planner'!Y110="",1,0))</f>
        <v/>
      </c>
      <c r="AB109" s="17" t="str">
        <f>IF(OR(TEXT(AB$13,"ddd")="Sun",AB$13="",$D109=""),"",IF('Leave Planner'!Z110="",1,0))</f>
        <v/>
      </c>
      <c r="AC109" s="17" t="str">
        <f>IF(OR(TEXT(AC$13,"ddd")="Sun",AC$13="",$D109=""),"",IF('Leave Planner'!AA110="",1,0))</f>
        <v/>
      </c>
      <c r="AD109" s="17" t="str">
        <f>IF(OR(TEXT(AD$13,"ddd")="Sun",AD$13="",$D109=""),"",IF('Leave Planner'!AB110="",1,0))</f>
        <v/>
      </c>
      <c r="AE109" s="17" t="str">
        <f>IF(OR(TEXT(AE$13,"ddd")="Sun",AE$13="",$D109=""),"",IF('Leave Planner'!AC110="",1,0))</f>
        <v/>
      </c>
      <c r="AF109" s="17" t="str">
        <f>IF(OR(TEXT(AF$13,"ddd")="Sun",AF$13="",$D109=""),"",IF('Leave Planner'!AD110="",1,0))</f>
        <v/>
      </c>
      <c r="AG109" s="17" t="str">
        <f>IF(OR(TEXT(AG$13,"ddd")="Sun",AG$13="",$D109=""),"",IF('Leave Planner'!AE110="",1,0))</f>
        <v/>
      </c>
      <c r="AH109" s="17" t="str">
        <f>IF(OR(TEXT(AH$13,"ddd")="Sun",AH$13="",$D109=""),"",IF('Leave Planner'!AF110="",1,0))</f>
        <v/>
      </c>
      <c r="AI109" s="17" t="str">
        <f>IF(OR(TEXT(AI$13,"ddd")="Sun",AI$13="",$D109=""),"",IF('Leave Planner'!AG110="",1,0))</f>
        <v/>
      </c>
      <c r="AJ109" s="17" t="str">
        <f>IF(OR(TEXT(AJ$13,"ddd")="Sun",AJ$13="",$D109=""),"",IF('Leave Planner'!AH110="",1,0))</f>
        <v/>
      </c>
    </row>
    <row r="110" spans="2:36" x14ac:dyDescent="0.75">
      <c r="B110" s="15"/>
      <c r="C110" s="22"/>
      <c r="D110" s="22"/>
      <c r="E110" s="42" t="str">
        <f t="shared" si="6"/>
        <v/>
      </c>
      <c r="F110" s="17" t="str">
        <f>IF(OR(TEXT(F$13,"ddd")="Sun",F$13="",$D110=""),"",IF('Leave Planner'!D111="",1,0))</f>
        <v/>
      </c>
      <c r="G110" s="17" t="str">
        <f>IF(OR(TEXT(G$13,"ddd")="Sun",G$13="",$D110=""),"",IF('Leave Planner'!E111="",1,0))</f>
        <v/>
      </c>
      <c r="H110" s="17" t="str">
        <f>IF(OR(TEXT(H$13,"ddd")="Sun",H$13="",$D110=""),"",IF('Leave Planner'!F111="",1,0))</f>
        <v/>
      </c>
      <c r="I110" s="17" t="str">
        <f>IF(OR(TEXT(I$13,"ddd")="Sun",I$13="",$D110=""),"",IF('Leave Planner'!G111="",1,0))</f>
        <v/>
      </c>
      <c r="J110" s="17" t="str">
        <f>IF(OR(TEXT(J$13,"ddd")="Sun",J$13="",$D110=""),"",IF('Leave Planner'!H111="",1,0))</f>
        <v/>
      </c>
      <c r="K110" s="17" t="str">
        <f>IF(OR(TEXT(K$13,"ddd")="Sun",K$13="",$D110=""),"",IF('Leave Planner'!I111="",1,0))</f>
        <v/>
      </c>
      <c r="L110" s="17" t="str">
        <f>IF(OR(TEXT(L$13,"ddd")="Sun",L$13="",$D110=""),"",IF('Leave Planner'!J111="",1,0))</f>
        <v/>
      </c>
      <c r="M110" s="17" t="str">
        <f>IF(OR(TEXT(M$13,"ddd")="Sun",M$13="",$D110=""),"",IF('Leave Planner'!K111="",1,0))</f>
        <v/>
      </c>
      <c r="N110" s="17" t="str">
        <f>IF(OR(TEXT(N$13,"ddd")="Sun",N$13="",$D110=""),"",IF('Leave Planner'!L111="",1,0))</f>
        <v/>
      </c>
      <c r="O110" s="17" t="str">
        <f>IF(OR(TEXT(O$13,"ddd")="Sun",O$13="",$D110=""),"",IF('Leave Planner'!M111="",1,0))</f>
        <v/>
      </c>
      <c r="P110" s="17" t="str">
        <f>IF(OR(TEXT(P$13,"ddd")="Sun",P$13="",$D110=""),"",IF('Leave Planner'!N111="",1,0))</f>
        <v/>
      </c>
      <c r="Q110" s="17" t="str">
        <f>IF(OR(TEXT(Q$13,"ddd")="Sun",Q$13="",$D110=""),"",IF('Leave Planner'!O111="",1,0))</f>
        <v/>
      </c>
      <c r="R110" s="17" t="str">
        <f>IF(OR(TEXT(R$13,"ddd")="Sun",R$13="",$D110=""),"",IF('Leave Planner'!P111="",1,0))</f>
        <v/>
      </c>
      <c r="S110" s="17" t="str">
        <f>IF(OR(TEXT(S$13,"ddd")="Sun",S$13="",$D110=""),"",IF('Leave Planner'!Q111="",1,0))</f>
        <v/>
      </c>
      <c r="T110" s="17" t="str">
        <f>IF(OR(TEXT(T$13,"ddd")="Sun",T$13="",$D110=""),"",IF('Leave Planner'!R111="",1,0))</f>
        <v/>
      </c>
      <c r="U110" s="17" t="str">
        <f>IF(OR(TEXT(U$13,"ddd")="Sun",U$13="",$D110=""),"",IF('Leave Planner'!S111="",1,0))</f>
        <v/>
      </c>
      <c r="V110" s="17" t="str">
        <f>IF(OR(TEXT(V$13,"ddd")="Sun",V$13="",$D110=""),"",IF('Leave Planner'!T111="",1,0))</f>
        <v/>
      </c>
      <c r="W110" s="17" t="str">
        <f>IF(OR(TEXT(W$13,"ddd")="Sun",W$13="",$D110=""),"",IF('Leave Planner'!U111="",1,0))</f>
        <v/>
      </c>
      <c r="X110" s="17" t="str">
        <f>IF(OR(TEXT(X$13,"ddd")="Sun",X$13="",$D110=""),"",IF('Leave Planner'!V111="",1,0))</f>
        <v/>
      </c>
      <c r="Y110" s="17" t="str">
        <f>IF(OR(TEXT(Y$13,"ddd")="Sun",Y$13="",$D110=""),"",IF('Leave Planner'!W111="",1,0))</f>
        <v/>
      </c>
      <c r="Z110" s="17" t="str">
        <f>IF(OR(TEXT(Z$13,"ddd")="Sun",Z$13="",$D110=""),"",IF('Leave Planner'!X111="",1,0))</f>
        <v/>
      </c>
      <c r="AA110" s="17" t="str">
        <f>IF(OR(TEXT(AA$13,"ddd")="Sun",AA$13="",$D110=""),"",IF('Leave Planner'!Y111="",1,0))</f>
        <v/>
      </c>
      <c r="AB110" s="17" t="str">
        <f>IF(OR(TEXT(AB$13,"ddd")="Sun",AB$13="",$D110=""),"",IF('Leave Planner'!Z111="",1,0))</f>
        <v/>
      </c>
      <c r="AC110" s="17" t="str">
        <f>IF(OR(TEXT(AC$13,"ddd")="Sun",AC$13="",$D110=""),"",IF('Leave Planner'!AA111="",1,0))</f>
        <v/>
      </c>
      <c r="AD110" s="17" t="str">
        <f>IF(OR(TEXT(AD$13,"ddd")="Sun",AD$13="",$D110=""),"",IF('Leave Planner'!AB111="",1,0))</f>
        <v/>
      </c>
      <c r="AE110" s="17" t="str">
        <f>IF(OR(TEXT(AE$13,"ddd")="Sun",AE$13="",$D110=""),"",IF('Leave Planner'!AC111="",1,0))</f>
        <v/>
      </c>
      <c r="AF110" s="17" t="str">
        <f>IF(OR(TEXT(AF$13,"ddd")="Sun",AF$13="",$D110=""),"",IF('Leave Planner'!AD111="",1,0))</f>
        <v/>
      </c>
      <c r="AG110" s="17" t="str">
        <f>IF(OR(TEXT(AG$13,"ddd")="Sun",AG$13="",$D110=""),"",IF('Leave Planner'!AE111="",1,0))</f>
        <v/>
      </c>
      <c r="AH110" s="17" t="str">
        <f>IF(OR(TEXT(AH$13,"ddd")="Sun",AH$13="",$D110=""),"",IF('Leave Planner'!AF111="",1,0))</f>
        <v/>
      </c>
      <c r="AI110" s="17" t="str">
        <f>IF(OR(TEXT(AI$13,"ddd")="Sun",AI$13="",$D110=""),"",IF('Leave Planner'!AG111="",1,0))</f>
        <v/>
      </c>
      <c r="AJ110" s="17" t="str">
        <f>IF(OR(TEXT(AJ$13,"ddd")="Sun",AJ$13="",$D110=""),"",IF('Leave Planner'!AH111="",1,0))</f>
        <v/>
      </c>
    </row>
    <row r="111" spans="2:36" x14ac:dyDescent="0.75">
      <c r="B111" s="15"/>
      <c r="C111" s="22"/>
      <c r="D111" s="22"/>
      <c r="E111" s="42" t="str">
        <f t="shared" si="6"/>
        <v/>
      </c>
      <c r="F111" s="17" t="str">
        <f>IF(OR(TEXT(F$13,"ddd")="Sun",F$13="",$D111=""),"",IF('Leave Planner'!D112="",1,0))</f>
        <v/>
      </c>
      <c r="G111" s="17" t="str">
        <f>IF(OR(TEXT(G$13,"ddd")="Sun",G$13="",$D111=""),"",IF('Leave Planner'!E112="",1,0))</f>
        <v/>
      </c>
      <c r="H111" s="17" t="str">
        <f>IF(OR(TEXT(H$13,"ddd")="Sun",H$13="",$D111=""),"",IF('Leave Planner'!F112="",1,0))</f>
        <v/>
      </c>
      <c r="I111" s="17" t="str">
        <f>IF(OR(TEXT(I$13,"ddd")="Sun",I$13="",$D111=""),"",IF('Leave Planner'!G112="",1,0))</f>
        <v/>
      </c>
      <c r="J111" s="17" t="str">
        <f>IF(OR(TEXT(J$13,"ddd")="Sun",J$13="",$D111=""),"",IF('Leave Planner'!H112="",1,0))</f>
        <v/>
      </c>
      <c r="K111" s="17" t="str">
        <f>IF(OR(TEXT(K$13,"ddd")="Sun",K$13="",$D111=""),"",IF('Leave Planner'!I112="",1,0))</f>
        <v/>
      </c>
      <c r="L111" s="17" t="str">
        <f>IF(OR(TEXT(L$13,"ddd")="Sun",L$13="",$D111=""),"",IF('Leave Planner'!J112="",1,0))</f>
        <v/>
      </c>
      <c r="M111" s="17" t="str">
        <f>IF(OR(TEXT(M$13,"ddd")="Sun",M$13="",$D111=""),"",IF('Leave Planner'!K112="",1,0))</f>
        <v/>
      </c>
      <c r="N111" s="17" t="str">
        <f>IF(OR(TEXT(N$13,"ddd")="Sun",N$13="",$D111=""),"",IF('Leave Planner'!L112="",1,0))</f>
        <v/>
      </c>
      <c r="O111" s="17" t="str">
        <f>IF(OR(TEXT(O$13,"ddd")="Sun",O$13="",$D111=""),"",IF('Leave Planner'!M112="",1,0))</f>
        <v/>
      </c>
      <c r="P111" s="17" t="str">
        <f>IF(OR(TEXT(P$13,"ddd")="Sun",P$13="",$D111=""),"",IF('Leave Planner'!N112="",1,0))</f>
        <v/>
      </c>
      <c r="Q111" s="17" t="str">
        <f>IF(OR(TEXT(Q$13,"ddd")="Sun",Q$13="",$D111=""),"",IF('Leave Planner'!O112="",1,0))</f>
        <v/>
      </c>
      <c r="R111" s="17" t="str">
        <f>IF(OR(TEXT(R$13,"ddd")="Sun",R$13="",$D111=""),"",IF('Leave Planner'!P112="",1,0))</f>
        <v/>
      </c>
      <c r="S111" s="17" t="str">
        <f>IF(OR(TEXT(S$13,"ddd")="Sun",S$13="",$D111=""),"",IF('Leave Planner'!Q112="",1,0))</f>
        <v/>
      </c>
      <c r="T111" s="17" t="str">
        <f>IF(OR(TEXT(T$13,"ddd")="Sun",T$13="",$D111=""),"",IF('Leave Planner'!R112="",1,0))</f>
        <v/>
      </c>
      <c r="U111" s="17" t="str">
        <f>IF(OR(TEXT(U$13,"ddd")="Sun",U$13="",$D111=""),"",IF('Leave Planner'!S112="",1,0))</f>
        <v/>
      </c>
      <c r="V111" s="17" t="str">
        <f>IF(OR(TEXT(V$13,"ddd")="Sun",V$13="",$D111=""),"",IF('Leave Planner'!T112="",1,0))</f>
        <v/>
      </c>
      <c r="W111" s="17" t="str">
        <f>IF(OR(TEXT(W$13,"ddd")="Sun",W$13="",$D111=""),"",IF('Leave Planner'!U112="",1,0))</f>
        <v/>
      </c>
      <c r="X111" s="17" t="str">
        <f>IF(OR(TEXT(X$13,"ddd")="Sun",X$13="",$D111=""),"",IF('Leave Planner'!V112="",1,0))</f>
        <v/>
      </c>
      <c r="Y111" s="17" t="str">
        <f>IF(OR(TEXT(Y$13,"ddd")="Sun",Y$13="",$D111=""),"",IF('Leave Planner'!W112="",1,0))</f>
        <v/>
      </c>
      <c r="Z111" s="17" t="str">
        <f>IF(OR(TEXT(Z$13,"ddd")="Sun",Z$13="",$D111=""),"",IF('Leave Planner'!X112="",1,0))</f>
        <v/>
      </c>
      <c r="AA111" s="17" t="str">
        <f>IF(OR(TEXT(AA$13,"ddd")="Sun",AA$13="",$D111=""),"",IF('Leave Planner'!Y112="",1,0))</f>
        <v/>
      </c>
      <c r="AB111" s="17" t="str">
        <f>IF(OR(TEXT(AB$13,"ddd")="Sun",AB$13="",$D111=""),"",IF('Leave Planner'!Z112="",1,0))</f>
        <v/>
      </c>
      <c r="AC111" s="17" t="str">
        <f>IF(OR(TEXT(AC$13,"ddd")="Sun",AC$13="",$D111=""),"",IF('Leave Planner'!AA112="",1,0))</f>
        <v/>
      </c>
      <c r="AD111" s="17" t="str">
        <f>IF(OR(TEXT(AD$13,"ddd")="Sun",AD$13="",$D111=""),"",IF('Leave Planner'!AB112="",1,0))</f>
        <v/>
      </c>
      <c r="AE111" s="17" t="str">
        <f>IF(OR(TEXT(AE$13,"ddd")="Sun",AE$13="",$D111=""),"",IF('Leave Planner'!AC112="",1,0))</f>
        <v/>
      </c>
      <c r="AF111" s="17" t="str">
        <f>IF(OR(TEXT(AF$13,"ddd")="Sun",AF$13="",$D111=""),"",IF('Leave Planner'!AD112="",1,0))</f>
        <v/>
      </c>
      <c r="AG111" s="17" t="str">
        <f>IF(OR(TEXT(AG$13,"ddd")="Sun",AG$13="",$D111=""),"",IF('Leave Planner'!AE112="",1,0))</f>
        <v/>
      </c>
      <c r="AH111" s="17" t="str">
        <f>IF(OR(TEXT(AH$13,"ddd")="Sun",AH$13="",$D111=""),"",IF('Leave Planner'!AF112="",1,0))</f>
        <v/>
      </c>
      <c r="AI111" s="17" t="str">
        <f>IF(OR(TEXT(AI$13,"ddd")="Sun",AI$13="",$D111=""),"",IF('Leave Planner'!AG112="",1,0))</f>
        <v/>
      </c>
      <c r="AJ111" s="17" t="str">
        <f>IF(OR(TEXT(AJ$13,"ddd")="Sun",AJ$13="",$D111=""),"",IF('Leave Planner'!AH112="",1,0))</f>
        <v/>
      </c>
    </row>
    <row r="112" spans="2:36" x14ac:dyDescent="0.75">
      <c r="B112" s="15"/>
      <c r="C112" s="22"/>
      <c r="D112" s="22"/>
      <c r="E112" s="42" t="str">
        <f t="shared" si="6"/>
        <v/>
      </c>
      <c r="F112" s="17" t="str">
        <f>IF(OR(TEXT(F$13,"ddd")="Sun",F$13="",$D112=""),"",IF('Leave Planner'!D113="",1,0))</f>
        <v/>
      </c>
      <c r="G112" s="17" t="str">
        <f>IF(OR(TEXT(G$13,"ddd")="Sun",G$13="",$D112=""),"",IF('Leave Planner'!E113="",1,0))</f>
        <v/>
      </c>
      <c r="H112" s="17" t="str">
        <f>IF(OR(TEXT(H$13,"ddd")="Sun",H$13="",$D112=""),"",IF('Leave Planner'!F113="",1,0))</f>
        <v/>
      </c>
      <c r="I112" s="17" t="str">
        <f>IF(OR(TEXT(I$13,"ddd")="Sun",I$13="",$D112=""),"",IF('Leave Planner'!G113="",1,0))</f>
        <v/>
      </c>
      <c r="J112" s="17" t="str">
        <f>IF(OR(TEXT(J$13,"ddd")="Sun",J$13="",$D112=""),"",IF('Leave Planner'!H113="",1,0))</f>
        <v/>
      </c>
      <c r="K112" s="17" t="str">
        <f>IF(OR(TEXT(K$13,"ddd")="Sun",K$13="",$D112=""),"",IF('Leave Planner'!I113="",1,0))</f>
        <v/>
      </c>
      <c r="L112" s="17" t="str">
        <f>IF(OR(TEXT(L$13,"ddd")="Sun",L$13="",$D112=""),"",IF('Leave Planner'!J113="",1,0))</f>
        <v/>
      </c>
      <c r="M112" s="17" t="str">
        <f>IF(OR(TEXT(M$13,"ddd")="Sun",M$13="",$D112=""),"",IF('Leave Planner'!K113="",1,0))</f>
        <v/>
      </c>
      <c r="N112" s="17" t="str">
        <f>IF(OR(TEXT(N$13,"ddd")="Sun",N$13="",$D112=""),"",IF('Leave Planner'!L113="",1,0))</f>
        <v/>
      </c>
      <c r="O112" s="17" t="str">
        <f>IF(OR(TEXT(O$13,"ddd")="Sun",O$13="",$D112=""),"",IF('Leave Planner'!M113="",1,0))</f>
        <v/>
      </c>
      <c r="P112" s="17" t="str">
        <f>IF(OR(TEXT(P$13,"ddd")="Sun",P$13="",$D112=""),"",IF('Leave Planner'!N113="",1,0))</f>
        <v/>
      </c>
      <c r="Q112" s="17" t="str">
        <f>IF(OR(TEXT(Q$13,"ddd")="Sun",Q$13="",$D112=""),"",IF('Leave Planner'!O113="",1,0))</f>
        <v/>
      </c>
      <c r="R112" s="17" t="str">
        <f>IF(OR(TEXT(R$13,"ddd")="Sun",R$13="",$D112=""),"",IF('Leave Planner'!P113="",1,0))</f>
        <v/>
      </c>
      <c r="S112" s="17" t="str">
        <f>IF(OR(TEXT(S$13,"ddd")="Sun",S$13="",$D112=""),"",IF('Leave Planner'!Q113="",1,0))</f>
        <v/>
      </c>
      <c r="T112" s="17" t="str">
        <f>IF(OR(TEXT(T$13,"ddd")="Sun",T$13="",$D112=""),"",IF('Leave Planner'!R113="",1,0))</f>
        <v/>
      </c>
      <c r="U112" s="17" t="str">
        <f>IF(OR(TEXT(U$13,"ddd")="Sun",U$13="",$D112=""),"",IF('Leave Planner'!S113="",1,0))</f>
        <v/>
      </c>
      <c r="V112" s="17" t="str">
        <f>IF(OR(TEXT(V$13,"ddd")="Sun",V$13="",$D112=""),"",IF('Leave Planner'!T113="",1,0))</f>
        <v/>
      </c>
      <c r="W112" s="17" t="str">
        <f>IF(OR(TEXT(W$13,"ddd")="Sun",W$13="",$D112=""),"",IF('Leave Planner'!U113="",1,0))</f>
        <v/>
      </c>
      <c r="X112" s="17" t="str">
        <f>IF(OR(TEXT(X$13,"ddd")="Sun",X$13="",$D112=""),"",IF('Leave Planner'!V113="",1,0))</f>
        <v/>
      </c>
      <c r="Y112" s="17" t="str">
        <f>IF(OR(TEXT(Y$13,"ddd")="Sun",Y$13="",$D112=""),"",IF('Leave Planner'!W113="",1,0))</f>
        <v/>
      </c>
      <c r="Z112" s="17" t="str">
        <f>IF(OR(TEXT(Z$13,"ddd")="Sun",Z$13="",$D112=""),"",IF('Leave Planner'!X113="",1,0))</f>
        <v/>
      </c>
      <c r="AA112" s="17" t="str">
        <f>IF(OR(TEXT(AA$13,"ddd")="Sun",AA$13="",$D112=""),"",IF('Leave Planner'!Y113="",1,0))</f>
        <v/>
      </c>
      <c r="AB112" s="17" t="str">
        <f>IF(OR(TEXT(AB$13,"ddd")="Sun",AB$13="",$D112=""),"",IF('Leave Planner'!Z113="",1,0))</f>
        <v/>
      </c>
      <c r="AC112" s="17" t="str">
        <f>IF(OR(TEXT(AC$13,"ddd")="Sun",AC$13="",$D112=""),"",IF('Leave Planner'!AA113="",1,0))</f>
        <v/>
      </c>
      <c r="AD112" s="17" t="str">
        <f>IF(OR(TEXT(AD$13,"ddd")="Sun",AD$13="",$D112=""),"",IF('Leave Planner'!AB113="",1,0))</f>
        <v/>
      </c>
      <c r="AE112" s="17" t="str">
        <f>IF(OR(TEXT(AE$13,"ddd")="Sun",AE$13="",$D112=""),"",IF('Leave Planner'!AC113="",1,0))</f>
        <v/>
      </c>
      <c r="AF112" s="17" t="str">
        <f>IF(OR(TEXT(AF$13,"ddd")="Sun",AF$13="",$D112=""),"",IF('Leave Planner'!AD113="",1,0))</f>
        <v/>
      </c>
      <c r="AG112" s="17" t="str">
        <f>IF(OR(TEXT(AG$13,"ddd")="Sun",AG$13="",$D112=""),"",IF('Leave Planner'!AE113="",1,0))</f>
        <v/>
      </c>
      <c r="AH112" s="17" t="str">
        <f>IF(OR(TEXT(AH$13,"ddd")="Sun",AH$13="",$D112=""),"",IF('Leave Planner'!AF113="",1,0))</f>
        <v/>
      </c>
      <c r="AI112" s="17" t="str">
        <f>IF(OR(TEXT(AI$13,"ddd")="Sun",AI$13="",$D112=""),"",IF('Leave Planner'!AG113="",1,0))</f>
        <v/>
      </c>
      <c r="AJ112" s="17" t="str">
        <f>IF(OR(TEXT(AJ$13,"ddd")="Sun",AJ$13="",$D112=""),"",IF('Leave Planner'!AH113="",1,0))</f>
        <v/>
      </c>
    </row>
    <row r="113" spans="2:36" x14ac:dyDescent="0.75">
      <c r="B113" s="15"/>
      <c r="C113" s="22"/>
      <c r="D113" s="22"/>
      <c r="E113" s="42" t="str">
        <f t="shared" si="6"/>
        <v/>
      </c>
      <c r="F113" s="17" t="str">
        <f>IF(OR(TEXT(F$13,"ddd")="Sun",F$13="",$D113=""),"",IF('Leave Planner'!D114="",1,0))</f>
        <v/>
      </c>
      <c r="G113" s="17" t="str">
        <f>IF(OR(TEXT(G$13,"ddd")="Sun",G$13="",$D113=""),"",IF('Leave Planner'!E114="",1,0))</f>
        <v/>
      </c>
      <c r="H113" s="17" t="str">
        <f>IF(OR(TEXT(H$13,"ddd")="Sun",H$13="",$D113=""),"",IF('Leave Planner'!F114="",1,0))</f>
        <v/>
      </c>
      <c r="I113" s="17" t="str">
        <f>IF(OR(TEXT(I$13,"ddd")="Sun",I$13="",$D113=""),"",IF('Leave Planner'!G114="",1,0))</f>
        <v/>
      </c>
      <c r="J113" s="17" t="str">
        <f>IF(OR(TEXT(J$13,"ddd")="Sun",J$13="",$D113=""),"",IF('Leave Planner'!H114="",1,0))</f>
        <v/>
      </c>
      <c r="K113" s="17" t="str">
        <f>IF(OR(TEXT(K$13,"ddd")="Sun",K$13="",$D113=""),"",IF('Leave Planner'!I114="",1,0))</f>
        <v/>
      </c>
      <c r="L113" s="17" t="str">
        <f>IF(OR(TEXT(L$13,"ddd")="Sun",L$13="",$D113=""),"",IF('Leave Planner'!J114="",1,0))</f>
        <v/>
      </c>
      <c r="M113" s="17" t="str">
        <f>IF(OR(TEXT(M$13,"ddd")="Sun",M$13="",$D113=""),"",IF('Leave Planner'!K114="",1,0))</f>
        <v/>
      </c>
      <c r="N113" s="17" t="str">
        <f>IF(OR(TEXT(N$13,"ddd")="Sun",N$13="",$D113=""),"",IF('Leave Planner'!L114="",1,0))</f>
        <v/>
      </c>
      <c r="O113" s="17" t="str">
        <f>IF(OR(TEXT(O$13,"ddd")="Sun",O$13="",$D113=""),"",IF('Leave Planner'!M114="",1,0))</f>
        <v/>
      </c>
      <c r="P113" s="17" t="str">
        <f>IF(OR(TEXT(P$13,"ddd")="Sun",P$13="",$D113=""),"",IF('Leave Planner'!N114="",1,0))</f>
        <v/>
      </c>
      <c r="Q113" s="17" t="str">
        <f>IF(OR(TEXT(Q$13,"ddd")="Sun",Q$13="",$D113=""),"",IF('Leave Planner'!O114="",1,0))</f>
        <v/>
      </c>
      <c r="R113" s="17" t="str">
        <f>IF(OR(TEXT(R$13,"ddd")="Sun",R$13="",$D113=""),"",IF('Leave Planner'!P114="",1,0))</f>
        <v/>
      </c>
      <c r="S113" s="17" t="str">
        <f>IF(OR(TEXT(S$13,"ddd")="Sun",S$13="",$D113=""),"",IF('Leave Planner'!Q114="",1,0))</f>
        <v/>
      </c>
      <c r="T113" s="17" t="str">
        <f>IF(OR(TEXT(T$13,"ddd")="Sun",T$13="",$D113=""),"",IF('Leave Planner'!R114="",1,0))</f>
        <v/>
      </c>
      <c r="U113" s="17" t="str">
        <f>IF(OR(TEXT(U$13,"ddd")="Sun",U$13="",$D113=""),"",IF('Leave Planner'!S114="",1,0))</f>
        <v/>
      </c>
      <c r="V113" s="17" t="str">
        <f>IF(OR(TEXT(V$13,"ddd")="Sun",V$13="",$D113=""),"",IF('Leave Planner'!T114="",1,0))</f>
        <v/>
      </c>
      <c r="W113" s="17" t="str">
        <f>IF(OR(TEXT(W$13,"ddd")="Sun",W$13="",$D113=""),"",IF('Leave Planner'!U114="",1,0))</f>
        <v/>
      </c>
      <c r="X113" s="17" t="str">
        <f>IF(OR(TEXT(X$13,"ddd")="Sun",X$13="",$D113=""),"",IF('Leave Planner'!V114="",1,0))</f>
        <v/>
      </c>
      <c r="Y113" s="17" t="str">
        <f>IF(OR(TEXT(Y$13,"ddd")="Sun",Y$13="",$D113=""),"",IF('Leave Planner'!W114="",1,0))</f>
        <v/>
      </c>
      <c r="Z113" s="17" t="str">
        <f>IF(OR(TEXT(Z$13,"ddd")="Sun",Z$13="",$D113=""),"",IF('Leave Planner'!X114="",1,0))</f>
        <v/>
      </c>
      <c r="AA113" s="17" t="str">
        <f>IF(OR(TEXT(AA$13,"ddd")="Sun",AA$13="",$D113=""),"",IF('Leave Planner'!Y114="",1,0))</f>
        <v/>
      </c>
      <c r="AB113" s="17" t="str">
        <f>IF(OR(TEXT(AB$13,"ddd")="Sun",AB$13="",$D113=""),"",IF('Leave Planner'!Z114="",1,0))</f>
        <v/>
      </c>
      <c r="AC113" s="17" t="str">
        <f>IF(OR(TEXT(AC$13,"ddd")="Sun",AC$13="",$D113=""),"",IF('Leave Planner'!AA114="",1,0))</f>
        <v/>
      </c>
      <c r="AD113" s="17" t="str">
        <f>IF(OR(TEXT(AD$13,"ddd")="Sun",AD$13="",$D113=""),"",IF('Leave Planner'!AB114="",1,0))</f>
        <v/>
      </c>
      <c r="AE113" s="17" t="str">
        <f>IF(OR(TEXT(AE$13,"ddd")="Sun",AE$13="",$D113=""),"",IF('Leave Planner'!AC114="",1,0))</f>
        <v/>
      </c>
      <c r="AF113" s="17" t="str">
        <f>IF(OR(TEXT(AF$13,"ddd")="Sun",AF$13="",$D113=""),"",IF('Leave Planner'!AD114="",1,0))</f>
        <v/>
      </c>
      <c r="AG113" s="17" t="str">
        <f>IF(OR(TEXT(AG$13,"ddd")="Sun",AG$13="",$D113=""),"",IF('Leave Planner'!AE114="",1,0))</f>
        <v/>
      </c>
      <c r="AH113" s="17" t="str">
        <f>IF(OR(TEXT(AH$13,"ddd")="Sun",AH$13="",$D113=""),"",IF('Leave Planner'!AF114="",1,0))</f>
        <v/>
      </c>
      <c r="AI113" s="17" t="str">
        <f>IF(OR(TEXT(AI$13,"ddd")="Sun",AI$13="",$D113=""),"",IF('Leave Planner'!AG114="",1,0))</f>
        <v/>
      </c>
      <c r="AJ113" s="17" t="str">
        <f>IF(OR(TEXT(AJ$13,"ddd")="Sun",AJ$13="",$D113=""),"",IF('Leave Planner'!AH114="",1,0))</f>
        <v/>
      </c>
    </row>
    <row r="114" spans="2:36" x14ac:dyDescent="0.75">
      <c r="B114" s="15"/>
      <c r="C114" s="22"/>
      <c r="D114" s="22"/>
      <c r="E114" s="42" t="str">
        <f t="shared" si="6"/>
        <v/>
      </c>
      <c r="F114" s="17" t="str">
        <f>IF(OR(TEXT(F$13,"ddd")="Sun",F$13="",$D114=""),"",IF('Leave Planner'!D115="",1,0))</f>
        <v/>
      </c>
      <c r="G114" s="17" t="str">
        <f>IF(OR(TEXT(G$13,"ddd")="Sun",G$13="",$D114=""),"",IF('Leave Planner'!E115="",1,0))</f>
        <v/>
      </c>
      <c r="H114" s="17" t="str">
        <f>IF(OR(TEXT(H$13,"ddd")="Sun",H$13="",$D114=""),"",IF('Leave Planner'!F115="",1,0))</f>
        <v/>
      </c>
      <c r="I114" s="17" t="str">
        <f>IF(OR(TEXT(I$13,"ddd")="Sun",I$13="",$D114=""),"",IF('Leave Planner'!G115="",1,0))</f>
        <v/>
      </c>
      <c r="J114" s="17" t="str">
        <f>IF(OR(TEXT(J$13,"ddd")="Sun",J$13="",$D114=""),"",IF('Leave Planner'!H115="",1,0))</f>
        <v/>
      </c>
      <c r="K114" s="17" t="str">
        <f>IF(OR(TEXT(K$13,"ddd")="Sun",K$13="",$D114=""),"",IF('Leave Planner'!I115="",1,0))</f>
        <v/>
      </c>
      <c r="L114" s="17" t="str">
        <f>IF(OR(TEXT(L$13,"ddd")="Sun",L$13="",$D114=""),"",IF('Leave Planner'!J115="",1,0))</f>
        <v/>
      </c>
      <c r="M114" s="17" t="str">
        <f>IF(OR(TEXT(M$13,"ddd")="Sun",M$13="",$D114=""),"",IF('Leave Planner'!K115="",1,0))</f>
        <v/>
      </c>
      <c r="N114" s="17" t="str">
        <f>IF(OR(TEXT(N$13,"ddd")="Sun",N$13="",$D114=""),"",IF('Leave Planner'!L115="",1,0))</f>
        <v/>
      </c>
      <c r="O114" s="17" t="str">
        <f>IF(OR(TEXT(O$13,"ddd")="Sun",O$13="",$D114=""),"",IF('Leave Planner'!M115="",1,0))</f>
        <v/>
      </c>
      <c r="P114" s="17" t="str">
        <f>IF(OR(TEXT(P$13,"ddd")="Sun",P$13="",$D114=""),"",IF('Leave Planner'!N115="",1,0))</f>
        <v/>
      </c>
      <c r="Q114" s="17" t="str">
        <f>IF(OR(TEXT(Q$13,"ddd")="Sun",Q$13="",$D114=""),"",IF('Leave Planner'!O115="",1,0))</f>
        <v/>
      </c>
      <c r="R114" s="17" t="str">
        <f>IF(OR(TEXT(R$13,"ddd")="Sun",R$13="",$D114=""),"",IF('Leave Planner'!P115="",1,0))</f>
        <v/>
      </c>
      <c r="S114" s="17" t="str">
        <f>IF(OR(TEXT(S$13,"ddd")="Sun",S$13="",$D114=""),"",IF('Leave Planner'!Q115="",1,0))</f>
        <v/>
      </c>
      <c r="T114" s="17" t="str">
        <f>IF(OR(TEXT(T$13,"ddd")="Sun",T$13="",$D114=""),"",IF('Leave Planner'!R115="",1,0))</f>
        <v/>
      </c>
      <c r="U114" s="17" t="str">
        <f>IF(OR(TEXT(U$13,"ddd")="Sun",U$13="",$D114=""),"",IF('Leave Planner'!S115="",1,0))</f>
        <v/>
      </c>
      <c r="V114" s="17" t="str">
        <f>IF(OR(TEXT(V$13,"ddd")="Sun",V$13="",$D114=""),"",IF('Leave Planner'!T115="",1,0))</f>
        <v/>
      </c>
      <c r="W114" s="17" t="str">
        <f>IF(OR(TEXT(W$13,"ddd")="Sun",W$13="",$D114=""),"",IF('Leave Planner'!U115="",1,0))</f>
        <v/>
      </c>
      <c r="X114" s="17" t="str">
        <f>IF(OR(TEXT(X$13,"ddd")="Sun",X$13="",$D114=""),"",IF('Leave Planner'!V115="",1,0))</f>
        <v/>
      </c>
      <c r="Y114" s="17" t="str">
        <f>IF(OR(TEXT(Y$13,"ddd")="Sun",Y$13="",$D114=""),"",IF('Leave Planner'!W115="",1,0))</f>
        <v/>
      </c>
      <c r="Z114" s="17" t="str">
        <f>IF(OR(TEXT(Z$13,"ddd")="Sun",Z$13="",$D114=""),"",IF('Leave Planner'!X115="",1,0))</f>
        <v/>
      </c>
      <c r="AA114" s="17" t="str">
        <f>IF(OR(TEXT(AA$13,"ddd")="Sun",AA$13="",$D114=""),"",IF('Leave Planner'!Y115="",1,0))</f>
        <v/>
      </c>
      <c r="AB114" s="17" t="str">
        <f>IF(OR(TEXT(AB$13,"ddd")="Sun",AB$13="",$D114=""),"",IF('Leave Planner'!Z115="",1,0))</f>
        <v/>
      </c>
      <c r="AC114" s="17" t="str">
        <f>IF(OR(TEXT(AC$13,"ddd")="Sun",AC$13="",$D114=""),"",IF('Leave Planner'!AA115="",1,0))</f>
        <v/>
      </c>
      <c r="AD114" s="17" t="str">
        <f>IF(OR(TEXT(AD$13,"ddd")="Sun",AD$13="",$D114=""),"",IF('Leave Planner'!AB115="",1,0))</f>
        <v/>
      </c>
      <c r="AE114" s="17" t="str">
        <f>IF(OR(TEXT(AE$13,"ddd")="Sun",AE$13="",$D114=""),"",IF('Leave Planner'!AC115="",1,0))</f>
        <v/>
      </c>
      <c r="AF114" s="17" t="str">
        <f>IF(OR(TEXT(AF$13,"ddd")="Sun",AF$13="",$D114=""),"",IF('Leave Planner'!AD115="",1,0))</f>
        <v/>
      </c>
      <c r="AG114" s="17" t="str">
        <f>IF(OR(TEXT(AG$13,"ddd")="Sun",AG$13="",$D114=""),"",IF('Leave Planner'!AE115="",1,0))</f>
        <v/>
      </c>
      <c r="AH114" s="17" t="str">
        <f>IF(OR(TEXT(AH$13,"ddd")="Sun",AH$13="",$D114=""),"",IF('Leave Planner'!AF115="",1,0))</f>
        <v/>
      </c>
      <c r="AI114" s="17" t="str">
        <f>IF(OR(TEXT(AI$13,"ddd")="Sun",AI$13="",$D114=""),"",IF('Leave Planner'!AG115="",1,0))</f>
        <v/>
      </c>
      <c r="AJ114" s="17" t="str">
        <f>IF(OR(TEXT(AJ$13,"ddd")="Sun",AJ$13="",$D114=""),"",IF('Leave Planner'!AH115="",1,0))</f>
        <v/>
      </c>
    </row>
    <row r="115" spans="2:36" x14ac:dyDescent="0.75">
      <c r="B115" s="15"/>
      <c r="C115" s="22"/>
      <c r="D115" s="22"/>
      <c r="E115" s="42" t="str">
        <f t="shared" si="6"/>
        <v/>
      </c>
      <c r="F115" s="17" t="str">
        <f>IF(OR(TEXT(F$13,"ddd")="Sun",F$13="",$D115=""),"",IF('Leave Planner'!D116="",1,0))</f>
        <v/>
      </c>
      <c r="G115" s="17" t="str">
        <f>IF(OR(TEXT(G$13,"ddd")="Sun",G$13="",$D115=""),"",IF('Leave Planner'!E116="",1,0))</f>
        <v/>
      </c>
      <c r="H115" s="17" t="str">
        <f>IF(OR(TEXT(H$13,"ddd")="Sun",H$13="",$D115=""),"",IF('Leave Planner'!F116="",1,0))</f>
        <v/>
      </c>
      <c r="I115" s="17" t="str">
        <f>IF(OR(TEXT(I$13,"ddd")="Sun",I$13="",$D115=""),"",IF('Leave Planner'!G116="",1,0))</f>
        <v/>
      </c>
      <c r="J115" s="17" t="str">
        <f>IF(OR(TEXT(J$13,"ddd")="Sun",J$13="",$D115=""),"",IF('Leave Planner'!H116="",1,0))</f>
        <v/>
      </c>
      <c r="K115" s="17" t="str">
        <f>IF(OR(TEXT(K$13,"ddd")="Sun",K$13="",$D115=""),"",IF('Leave Planner'!I116="",1,0))</f>
        <v/>
      </c>
      <c r="L115" s="17" t="str">
        <f>IF(OR(TEXT(L$13,"ddd")="Sun",L$13="",$D115=""),"",IF('Leave Planner'!J116="",1,0))</f>
        <v/>
      </c>
      <c r="M115" s="17" t="str">
        <f>IF(OR(TEXT(M$13,"ddd")="Sun",M$13="",$D115=""),"",IF('Leave Planner'!K116="",1,0))</f>
        <v/>
      </c>
      <c r="N115" s="17" t="str">
        <f>IF(OR(TEXT(N$13,"ddd")="Sun",N$13="",$D115=""),"",IF('Leave Planner'!L116="",1,0))</f>
        <v/>
      </c>
      <c r="O115" s="17" t="str">
        <f>IF(OR(TEXT(O$13,"ddd")="Sun",O$13="",$D115=""),"",IF('Leave Planner'!M116="",1,0))</f>
        <v/>
      </c>
      <c r="P115" s="17" t="str">
        <f>IF(OR(TEXT(P$13,"ddd")="Sun",P$13="",$D115=""),"",IF('Leave Planner'!N116="",1,0))</f>
        <v/>
      </c>
      <c r="Q115" s="17" t="str">
        <f>IF(OR(TEXT(Q$13,"ddd")="Sun",Q$13="",$D115=""),"",IF('Leave Planner'!O116="",1,0))</f>
        <v/>
      </c>
      <c r="R115" s="17" t="str">
        <f>IF(OR(TEXT(R$13,"ddd")="Sun",R$13="",$D115=""),"",IF('Leave Planner'!P116="",1,0))</f>
        <v/>
      </c>
      <c r="S115" s="17" t="str">
        <f>IF(OR(TEXT(S$13,"ddd")="Sun",S$13="",$D115=""),"",IF('Leave Planner'!Q116="",1,0))</f>
        <v/>
      </c>
      <c r="T115" s="17" t="str">
        <f>IF(OR(TEXT(T$13,"ddd")="Sun",T$13="",$D115=""),"",IF('Leave Planner'!R116="",1,0))</f>
        <v/>
      </c>
      <c r="U115" s="17" t="str">
        <f>IF(OR(TEXT(U$13,"ddd")="Sun",U$13="",$D115=""),"",IF('Leave Planner'!S116="",1,0))</f>
        <v/>
      </c>
      <c r="V115" s="17" t="str">
        <f>IF(OR(TEXT(V$13,"ddd")="Sun",V$13="",$D115=""),"",IF('Leave Planner'!T116="",1,0))</f>
        <v/>
      </c>
      <c r="W115" s="17" t="str">
        <f>IF(OR(TEXT(W$13,"ddd")="Sun",W$13="",$D115=""),"",IF('Leave Planner'!U116="",1,0))</f>
        <v/>
      </c>
      <c r="X115" s="17" t="str">
        <f>IF(OR(TEXT(X$13,"ddd")="Sun",X$13="",$D115=""),"",IF('Leave Planner'!V116="",1,0))</f>
        <v/>
      </c>
      <c r="Y115" s="17" t="str">
        <f>IF(OR(TEXT(Y$13,"ddd")="Sun",Y$13="",$D115=""),"",IF('Leave Planner'!W116="",1,0))</f>
        <v/>
      </c>
      <c r="Z115" s="17" t="str">
        <f>IF(OR(TEXT(Z$13,"ddd")="Sun",Z$13="",$D115=""),"",IF('Leave Planner'!X116="",1,0))</f>
        <v/>
      </c>
      <c r="AA115" s="17" t="str">
        <f>IF(OR(TEXT(AA$13,"ddd")="Sun",AA$13="",$D115=""),"",IF('Leave Planner'!Y116="",1,0))</f>
        <v/>
      </c>
      <c r="AB115" s="17" t="str">
        <f>IF(OR(TEXT(AB$13,"ddd")="Sun",AB$13="",$D115=""),"",IF('Leave Planner'!Z116="",1,0))</f>
        <v/>
      </c>
      <c r="AC115" s="17" t="str">
        <f>IF(OR(TEXT(AC$13,"ddd")="Sun",AC$13="",$D115=""),"",IF('Leave Planner'!AA116="",1,0))</f>
        <v/>
      </c>
      <c r="AD115" s="17" t="str">
        <f>IF(OR(TEXT(AD$13,"ddd")="Sun",AD$13="",$D115=""),"",IF('Leave Planner'!AB116="",1,0))</f>
        <v/>
      </c>
      <c r="AE115" s="17" t="str">
        <f>IF(OR(TEXT(AE$13,"ddd")="Sun",AE$13="",$D115=""),"",IF('Leave Planner'!AC116="",1,0))</f>
        <v/>
      </c>
      <c r="AF115" s="17" t="str">
        <f>IF(OR(TEXT(AF$13,"ddd")="Sun",AF$13="",$D115=""),"",IF('Leave Planner'!AD116="",1,0))</f>
        <v/>
      </c>
      <c r="AG115" s="17" t="str">
        <f>IF(OR(TEXT(AG$13,"ddd")="Sun",AG$13="",$D115=""),"",IF('Leave Planner'!AE116="",1,0))</f>
        <v/>
      </c>
      <c r="AH115" s="17" t="str">
        <f>IF(OR(TEXT(AH$13,"ddd")="Sun",AH$13="",$D115=""),"",IF('Leave Planner'!AF116="",1,0))</f>
        <v/>
      </c>
      <c r="AI115" s="17" t="str">
        <f>IF(OR(TEXT(AI$13,"ddd")="Sun",AI$13="",$D115=""),"",IF('Leave Planner'!AG116="",1,0))</f>
        <v/>
      </c>
      <c r="AJ115" s="17" t="str">
        <f>IF(OR(TEXT(AJ$13,"ddd")="Sun",AJ$13="",$D115=""),"",IF('Leave Planner'!AH116="",1,0))</f>
        <v/>
      </c>
    </row>
    <row r="116" spans="2:36" x14ac:dyDescent="0.75">
      <c r="B116" s="15"/>
      <c r="C116" s="22"/>
      <c r="D116" s="22"/>
      <c r="E116" s="42" t="str">
        <f t="shared" si="6"/>
        <v/>
      </c>
      <c r="F116" s="17" t="str">
        <f>IF(OR(TEXT(F$13,"ddd")="Sun",F$13="",$D116=""),"",IF('Leave Planner'!D117="",1,0))</f>
        <v/>
      </c>
      <c r="G116" s="17" t="str">
        <f>IF(OR(TEXT(G$13,"ddd")="Sun",G$13="",$D116=""),"",IF('Leave Planner'!E117="",1,0))</f>
        <v/>
      </c>
      <c r="H116" s="17" t="str">
        <f>IF(OR(TEXT(H$13,"ddd")="Sun",H$13="",$D116=""),"",IF('Leave Planner'!F117="",1,0))</f>
        <v/>
      </c>
      <c r="I116" s="17" t="str">
        <f>IF(OR(TEXT(I$13,"ddd")="Sun",I$13="",$D116=""),"",IF('Leave Planner'!G117="",1,0))</f>
        <v/>
      </c>
      <c r="J116" s="17" t="str">
        <f>IF(OR(TEXT(J$13,"ddd")="Sun",J$13="",$D116=""),"",IF('Leave Planner'!H117="",1,0))</f>
        <v/>
      </c>
      <c r="K116" s="17" t="str">
        <f>IF(OR(TEXT(K$13,"ddd")="Sun",K$13="",$D116=""),"",IF('Leave Planner'!I117="",1,0))</f>
        <v/>
      </c>
      <c r="L116" s="17" t="str">
        <f>IF(OR(TEXT(L$13,"ddd")="Sun",L$13="",$D116=""),"",IF('Leave Planner'!J117="",1,0))</f>
        <v/>
      </c>
      <c r="M116" s="17" t="str">
        <f>IF(OR(TEXT(M$13,"ddd")="Sun",M$13="",$D116=""),"",IF('Leave Planner'!K117="",1,0))</f>
        <v/>
      </c>
      <c r="N116" s="17" t="str">
        <f>IF(OR(TEXT(N$13,"ddd")="Sun",N$13="",$D116=""),"",IF('Leave Planner'!L117="",1,0))</f>
        <v/>
      </c>
      <c r="O116" s="17" t="str">
        <f>IF(OR(TEXT(O$13,"ddd")="Sun",O$13="",$D116=""),"",IF('Leave Planner'!M117="",1,0))</f>
        <v/>
      </c>
      <c r="P116" s="17" t="str">
        <f>IF(OR(TEXT(P$13,"ddd")="Sun",P$13="",$D116=""),"",IF('Leave Planner'!N117="",1,0))</f>
        <v/>
      </c>
      <c r="Q116" s="17" t="str">
        <f>IF(OR(TEXT(Q$13,"ddd")="Sun",Q$13="",$D116=""),"",IF('Leave Planner'!O117="",1,0))</f>
        <v/>
      </c>
      <c r="R116" s="17" t="str">
        <f>IF(OR(TEXT(R$13,"ddd")="Sun",R$13="",$D116=""),"",IF('Leave Planner'!P117="",1,0))</f>
        <v/>
      </c>
      <c r="S116" s="17" t="str">
        <f>IF(OR(TEXT(S$13,"ddd")="Sun",S$13="",$D116=""),"",IF('Leave Planner'!Q117="",1,0))</f>
        <v/>
      </c>
      <c r="T116" s="17" t="str">
        <f>IF(OR(TEXT(T$13,"ddd")="Sun",T$13="",$D116=""),"",IF('Leave Planner'!R117="",1,0))</f>
        <v/>
      </c>
      <c r="U116" s="17" t="str">
        <f>IF(OR(TEXT(U$13,"ddd")="Sun",U$13="",$D116=""),"",IF('Leave Planner'!S117="",1,0))</f>
        <v/>
      </c>
      <c r="V116" s="17" t="str">
        <f>IF(OR(TEXT(V$13,"ddd")="Sun",V$13="",$D116=""),"",IF('Leave Planner'!T117="",1,0))</f>
        <v/>
      </c>
      <c r="W116" s="17" t="str">
        <f>IF(OR(TEXT(W$13,"ddd")="Sun",W$13="",$D116=""),"",IF('Leave Planner'!U117="",1,0))</f>
        <v/>
      </c>
      <c r="X116" s="17" t="str">
        <f>IF(OR(TEXT(X$13,"ddd")="Sun",X$13="",$D116=""),"",IF('Leave Planner'!V117="",1,0))</f>
        <v/>
      </c>
      <c r="Y116" s="17" t="str">
        <f>IF(OR(TEXT(Y$13,"ddd")="Sun",Y$13="",$D116=""),"",IF('Leave Planner'!W117="",1,0))</f>
        <v/>
      </c>
      <c r="Z116" s="17" t="str">
        <f>IF(OR(TEXT(Z$13,"ddd")="Sun",Z$13="",$D116=""),"",IF('Leave Planner'!X117="",1,0))</f>
        <v/>
      </c>
      <c r="AA116" s="17" t="str">
        <f>IF(OR(TEXT(AA$13,"ddd")="Sun",AA$13="",$D116=""),"",IF('Leave Planner'!Y117="",1,0))</f>
        <v/>
      </c>
      <c r="AB116" s="17" t="str">
        <f>IF(OR(TEXT(AB$13,"ddd")="Sun",AB$13="",$D116=""),"",IF('Leave Planner'!Z117="",1,0))</f>
        <v/>
      </c>
      <c r="AC116" s="17" t="str">
        <f>IF(OR(TEXT(AC$13,"ddd")="Sun",AC$13="",$D116=""),"",IF('Leave Planner'!AA117="",1,0))</f>
        <v/>
      </c>
      <c r="AD116" s="17" t="str">
        <f>IF(OR(TEXT(AD$13,"ddd")="Sun",AD$13="",$D116=""),"",IF('Leave Planner'!AB117="",1,0))</f>
        <v/>
      </c>
      <c r="AE116" s="17" t="str">
        <f>IF(OR(TEXT(AE$13,"ddd")="Sun",AE$13="",$D116=""),"",IF('Leave Planner'!AC117="",1,0))</f>
        <v/>
      </c>
      <c r="AF116" s="17" t="str">
        <f>IF(OR(TEXT(AF$13,"ddd")="Sun",AF$13="",$D116=""),"",IF('Leave Planner'!AD117="",1,0))</f>
        <v/>
      </c>
      <c r="AG116" s="17" t="str">
        <f>IF(OR(TEXT(AG$13,"ddd")="Sun",AG$13="",$D116=""),"",IF('Leave Planner'!AE117="",1,0))</f>
        <v/>
      </c>
      <c r="AH116" s="17" t="str">
        <f>IF(OR(TEXT(AH$13,"ddd")="Sun",AH$13="",$D116=""),"",IF('Leave Planner'!AF117="",1,0))</f>
        <v/>
      </c>
      <c r="AI116" s="17" t="str">
        <f>IF(OR(TEXT(AI$13,"ddd")="Sun",AI$13="",$D116=""),"",IF('Leave Planner'!AG117="",1,0))</f>
        <v/>
      </c>
      <c r="AJ116" s="17" t="str">
        <f>IF(OR(TEXT(AJ$13,"ddd")="Sun",AJ$13="",$D116=""),"",IF('Leave Planner'!AH117="",1,0))</f>
        <v/>
      </c>
    </row>
    <row r="117" spans="2:36" x14ac:dyDescent="0.75">
      <c r="B117" s="15"/>
      <c r="C117" s="22"/>
      <c r="D117" s="22"/>
      <c r="E117" s="42" t="str">
        <f t="shared" si="6"/>
        <v/>
      </c>
      <c r="F117" s="17" t="str">
        <f>IF(OR(TEXT(F$13,"ddd")="Sun",F$13="",$D117=""),"",IF('Leave Planner'!D118="",1,0))</f>
        <v/>
      </c>
      <c r="G117" s="17" t="str">
        <f>IF(OR(TEXT(G$13,"ddd")="Sun",G$13="",$D117=""),"",IF('Leave Planner'!E118="",1,0))</f>
        <v/>
      </c>
      <c r="H117" s="17" t="str">
        <f>IF(OR(TEXT(H$13,"ddd")="Sun",H$13="",$D117=""),"",IF('Leave Planner'!F118="",1,0))</f>
        <v/>
      </c>
      <c r="I117" s="17" t="str">
        <f>IF(OR(TEXT(I$13,"ddd")="Sun",I$13="",$D117=""),"",IF('Leave Planner'!G118="",1,0))</f>
        <v/>
      </c>
      <c r="J117" s="17" t="str">
        <f>IF(OR(TEXT(J$13,"ddd")="Sun",J$13="",$D117=""),"",IF('Leave Planner'!H118="",1,0))</f>
        <v/>
      </c>
      <c r="K117" s="17" t="str">
        <f>IF(OR(TEXT(K$13,"ddd")="Sun",K$13="",$D117=""),"",IF('Leave Planner'!I118="",1,0))</f>
        <v/>
      </c>
      <c r="L117" s="17" t="str">
        <f>IF(OR(TEXT(L$13,"ddd")="Sun",L$13="",$D117=""),"",IF('Leave Planner'!J118="",1,0))</f>
        <v/>
      </c>
      <c r="M117" s="17" t="str">
        <f>IF(OR(TEXT(M$13,"ddd")="Sun",M$13="",$D117=""),"",IF('Leave Planner'!K118="",1,0))</f>
        <v/>
      </c>
      <c r="N117" s="17" t="str">
        <f>IF(OR(TEXT(N$13,"ddd")="Sun",N$13="",$D117=""),"",IF('Leave Planner'!L118="",1,0))</f>
        <v/>
      </c>
      <c r="O117" s="17" t="str">
        <f>IF(OR(TEXT(O$13,"ddd")="Sun",O$13="",$D117=""),"",IF('Leave Planner'!M118="",1,0))</f>
        <v/>
      </c>
      <c r="P117" s="17" t="str">
        <f>IF(OR(TEXT(P$13,"ddd")="Sun",P$13="",$D117=""),"",IF('Leave Planner'!N118="",1,0))</f>
        <v/>
      </c>
      <c r="Q117" s="17" t="str">
        <f>IF(OR(TEXT(Q$13,"ddd")="Sun",Q$13="",$D117=""),"",IF('Leave Planner'!O118="",1,0))</f>
        <v/>
      </c>
      <c r="R117" s="17" t="str">
        <f>IF(OR(TEXT(R$13,"ddd")="Sun",R$13="",$D117=""),"",IF('Leave Planner'!P118="",1,0))</f>
        <v/>
      </c>
      <c r="S117" s="17" t="str">
        <f>IF(OR(TEXT(S$13,"ddd")="Sun",S$13="",$D117=""),"",IF('Leave Planner'!Q118="",1,0))</f>
        <v/>
      </c>
      <c r="T117" s="17" t="str">
        <f>IF(OR(TEXT(T$13,"ddd")="Sun",T$13="",$D117=""),"",IF('Leave Planner'!R118="",1,0))</f>
        <v/>
      </c>
      <c r="U117" s="17" t="str">
        <f>IF(OR(TEXT(U$13,"ddd")="Sun",U$13="",$D117=""),"",IF('Leave Planner'!S118="",1,0))</f>
        <v/>
      </c>
      <c r="V117" s="17" t="str">
        <f>IF(OR(TEXT(V$13,"ddd")="Sun",V$13="",$D117=""),"",IF('Leave Planner'!T118="",1,0))</f>
        <v/>
      </c>
      <c r="W117" s="17" t="str">
        <f>IF(OR(TEXT(W$13,"ddd")="Sun",W$13="",$D117=""),"",IF('Leave Planner'!U118="",1,0))</f>
        <v/>
      </c>
      <c r="X117" s="17" t="str">
        <f>IF(OR(TEXT(X$13,"ddd")="Sun",X$13="",$D117=""),"",IF('Leave Planner'!V118="",1,0))</f>
        <v/>
      </c>
      <c r="Y117" s="17" t="str">
        <f>IF(OR(TEXT(Y$13,"ddd")="Sun",Y$13="",$D117=""),"",IF('Leave Planner'!W118="",1,0))</f>
        <v/>
      </c>
      <c r="Z117" s="17" t="str">
        <f>IF(OR(TEXT(Z$13,"ddd")="Sun",Z$13="",$D117=""),"",IF('Leave Planner'!X118="",1,0))</f>
        <v/>
      </c>
      <c r="AA117" s="17" t="str">
        <f>IF(OR(TEXT(AA$13,"ddd")="Sun",AA$13="",$D117=""),"",IF('Leave Planner'!Y118="",1,0))</f>
        <v/>
      </c>
      <c r="AB117" s="17" t="str">
        <f>IF(OR(TEXT(AB$13,"ddd")="Sun",AB$13="",$D117=""),"",IF('Leave Planner'!Z118="",1,0))</f>
        <v/>
      </c>
      <c r="AC117" s="17" t="str">
        <f>IF(OR(TEXT(AC$13,"ddd")="Sun",AC$13="",$D117=""),"",IF('Leave Planner'!AA118="",1,0))</f>
        <v/>
      </c>
      <c r="AD117" s="17" t="str">
        <f>IF(OR(TEXT(AD$13,"ddd")="Sun",AD$13="",$D117=""),"",IF('Leave Planner'!AB118="",1,0))</f>
        <v/>
      </c>
      <c r="AE117" s="17" t="str">
        <f>IF(OR(TEXT(AE$13,"ddd")="Sun",AE$13="",$D117=""),"",IF('Leave Planner'!AC118="",1,0))</f>
        <v/>
      </c>
      <c r="AF117" s="17" t="str">
        <f>IF(OR(TEXT(AF$13,"ddd")="Sun",AF$13="",$D117=""),"",IF('Leave Planner'!AD118="",1,0))</f>
        <v/>
      </c>
      <c r="AG117" s="17" t="str">
        <f>IF(OR(TEXT(AG$13,"ddd")="Sun",AG$13="",$D117=""),"",IF('Leave Planner'!AE118="",1,0))</f>
        <v/>
      </c>
      <c r="AH117" s="17" t="str">
        <f>IF(OR(TEXT(AH$13,"ddd")="Sun",AH$13="",$D117=""),"",IF('Leave Planner'!AF118="",1,0))</f>
        <v/>
      </c>
      <c r="AI117" s="17" t="str">
        <f>IF(OR(TEXT(AI$13,"ddd")="Sun",AI$13="",$D117=""),"",IF('Leave Planner'!AG118="",1,0))</f>
        <v/>
      </c>
      <c r="AJ117" s="17" t="str">
        <f>IF(OR(TEXT(AJ$13,"ddd")="Sun",AJ$13="",$D117=""),"",IF('Leave Planner'!AH118="",1,0))</f>
        <v/>
      </c>
    </row>
    <row r="118" spans="2:36" x14ac:dyDescent="0.75">
      <c r="B118" s="15"/>
      <c r="C118" s="22"/>
      <c r="D118" s="22"/>
      <c r="E118" s="42" t="str">
        <f t="shared" si="6"/>
        <v/>
      </c>
      <c r="F118" s="17" t="str">
        <f>IF(OR(TEXT(F$13,"ddd")="Sun",F$13="",$D118=""),"",IF('Leave Planner'!D119="",1,0))</f>
        <v/>
      </c>
      <c r="G118" s="17" t="str">
        <f>IF(OR(TEXT(G$13,"ddd")="Sun",G$13="",$D118=""),"",IF('Leave Planner'!E119="",1,0))</f>
        <v/>
      </c>
      <c r="H118" s="17" t="str">
        <f>IF(OR(TEXT(H$13,"ddd")="Sun",H$13="",$D118=""),"",IF('Leave Planner'!F119="",1,0))</f>
        <v/>
      </c>
      <c r="I118" s="17" t="str">
        <f>IF(OR(TEXT(I$13,"ddd")="Sun",I$13="",$D118=""),"",IF('Leave Planner'!G119="",1,0))</f>
        <v/>
      </c>
      <c r="J118" s="17" t="str">
        <f>IF(OR(TEXT(J$13,"ddd")="Sun",J$13="",$D118=""),"",IF('Leave Planner'!H119="",1,0))</f>
        <v/>
      </c>
      <c r="K118" s="17" t="str">
        <f>IF(OR(TEXT(K$13,"ddd")="Sun",K$13="",$D118=""),"",IF('Leave Planner'!I119="",1,0))</f>
        <v/>
      </c>
      <c r="L118" s="17" t="str">
        <f>IF(OR(TEXT(L$13,"ddd")="Sun",L$13="",$D118=""),"",IF('Leave Planner'!J119="",1,0))</f>
        <v/>
      </c>
      <c r="M118" s="17" t="str">
        <f>IF(OR(TEXT(M$13,"ddd")="Sun",M$13="",$D118=""),"",IF('Leave Planner'!K119="",1,0))</f>
        <v/>
      </c>
      <c r="N118" s="17" t="str">
        <f>IF(OR(TEXT(N$13,"ddd")="Sun",N$13="",$D118=""),"",IF('Leave Planner'!L119="",1,0))</f>
        <v/>
      </c>
      <c r="O118" s="17" t="str">
        <f>IF(OR(TEXT(O$13,"ddd")="Sun",O$13="",$D118=""),"",IF('Leave Planner'!M119="",1,0))</f>
        <v/>
      </c>
      <c r="P118" s="17" t="str">
        <f>IF(OR(TEXT(P$13,"ddd")="Sun",P$13="",$D118=""),"",IF('Leave Planner'!N119="",1,0))</f>
        <v/>
      </c>
      <c r="Q118" s="17" t="str">
        <f>IF(OR(TEXT(Q$13,"ddd")="Sun",Q$13="",$D118=""),"",IF('Leave Planner'!O119="",1,0))</f>
        <v/>
      </c>
      <c r="R118" s="17" t="str">
        <f>IF(OR(TEXT(R$13,"ddd")="Sun",R$13="",$D118=""),"",IF('Leave Planner'!P119="",1,0))</f>
        <v/>
      </c>
      <c r="S118" s="17" t="str">
        <f>IF(OR(TEXT(S$13,"ddd")="Sun",S$13="",$D118=""),"",IF('Leave Planner'!Q119="",1,0))</f>
        <v/>
      </c>
      <c r="T118" s="17" t="str">
        <f>IF(OR(TEXT(T$13,"ddd")="Sun",T$13="",$D118=""),"",IF('Leave Planner'!R119="",1,0))</f>
        <v/>
      </c>
      <c r="U118" s="17" t="str">
        <f>IF(OR(TEXT(U$13,"ddd")="Sun",U$13="",$D118=""),"",IF('Leave Planner'!S119="",1,0))</f>
        <v/>
      </c>
      <c r="V118" s="17" t="str">
        <f>IF(OR(TEXT(V$13,"ddd")="Sun",V$13="",$D118=""),"",IF('Leave Planner'!T119="",1,0))</f>
        <v/>
      </c>
      <c r="W118" s="17" t="str">
        <f>IF(OR(TEXT(W$13,"ddd")="Sun",W$13="",$D118=""),"",IF('Leave Planner'!U119="",1,0))</f>
        <v/>
      </c>
      <c r="X118" s="17" t="str">
        <f>IF(OR(TEXT(X$13,"ddd")="Sun",X$13="",$D118=""),"",IF('Leave Planner'!V119="",1,0))</f>
        <v/>
      </c>
      <c r="Y118" s="17" t="str">
        <f>IF(OR(TEXT(Y$13,"ddd")="Sun",Y$13="",$D118=""),"",IF('Leave Planner'!W119="",1,0))</f>
        <v/>
      </c>
      <c r="Z118" s="17" t="str">
        <f>IF(OR(TEXT(Z$13,"ddd")="Sun",Z$13="",$D118=""),"",IF('Leave Planner'!X119="",1,0))</f>
        <v/>
      </c>
      <c r="AA118" s="17" t="str">
        <f>IF(OR(TEXT(AA$13,"ddd")="Sun",AA$13="",$D118=""),"",IF('Leave Planner'!Y119="",1,0))</f>
        <v/>
      </c>
      <c r="AB118" s="17" t="str">
        <f>IF(OR(TEXT(AB$13,"ddd")="Sun",AB$13="",$D118=""),"",IF('Leave Planner'!Z119="",1,0))</f>
        <v/>
      </c>
      <c r="AC118" s="17" t="str">
        <f>IF(OR(TEXT(AC$13,"ddd")="Sun",AC$13="",$D118=""),"",IF('Leave Planner'!AA119="",1,0))</f>
        <v/>
      </c>
      <c r="AD118" s="17" t="str">
        <f>IF(OR(TEXT(AD$13,"ddd")="Sun",AD$13="",$D118=""),"",IF('Leave Planner'!AB119="",1,0))</f>
        <v/>
      </c>
      <c r="AE118" s="17" t="str">
        <f>IF(OR(TEXT(AE$13,"ddd")="Sun",AE$13="",$D118=""),"",IF('Leave Planner'!AC119="",1,0))</f>
        <v/>
      </c>
      <c r="AF118" s="17" t="str">
        <f>IF(OR(TEXT(AF$13,"ddd")="Sun",AF$13="",$D118=""),"",IF('Leave Planner'!AD119="",1,0))</f>
        <v/>
      </c>
      <c r="AG118" s="17" t="str">
        <f>IF(OR(TEXT(AG$13,"ddd")="Sun",AG$13="",$D118=""),"",IF('Leave Planner'!AE119="",1,0))</f>
        <v/>
      </c>
      <c r="AH118" s="17" t="str">
        <f>IF(OR(TEXT(AH$13,"ddd")="Sun",AH$13="",$D118=""),"",IF('Leave Planner'!AF119="",1,0))</f>
        <v/>
      </c>
      <c r="AI118" s="17" t="str">
        <f>IF(OR(TEXT(AI$13,"ddd")="Sun",AI$13="",$D118=""),"",IF('Leave Planner'!AG119="",1,0))</f>
        <v/>
      </c>
      <c r="AJ118" s="17" t="str">
        <f>IF(OR(TEXT(AJ$13,"ddd")="Sun",AJ$13="",$D118=""),"",IF('Leave Planner'!AH119="",1,0))</f>
        <v/>
      </c>
    </row>
    <row r="119" spans="2:36" x14ac:dyDescent="0.75">
      <c r="B119" s="15"/>
      <c r="C119" s="22"/>
      <c r="D119" s="22"/>
      <c r="E119" s="42" t="str">
        <f t="shared" si="6"/>
        <v/>
      </c>
      <c r="F119" s="17" t="str">
        <f>IF(OR(TEXT(F$13,"ddd")="Sun",F$13="",$D119=""),"",IF('Leave Planner'!D120="",1,0))</f>
        <v/>
      </c>
      <c r="G119" s="17" t="str">
        <f>IF(OR(TEXT(G$13,"ddd")="Sun",G$13="",$D119=""),"",IF('Leave Planner'!E120="",1,0))</f>
        <v/>
      </c>
      <c r="H119" s="17" t="str">
        <f>IF(OR(TEXT(H$13,"ddd")="Sun",H$13="",$D119=""),"",IF('Leave Planner'!F120="",1,0))</f>
        <v/>
      </c>
      <c r="I119" s="17" t="str">
        <f>IF(OR(TEXT(I$13,"ddd")="Sun",I$13="",$D119=""),"",IF('Leave Planner'!G120="",1,0))</f>
        <v/>
      </c>
      <c r="J119" s="17" t="str">
        <f>IF(OR(TEXT(J$13,"ddd")="Sun",J$13="",$D119=""),"",IF('Leave Planner'!H120="",1,0))</f>
        <v/>
      </c>
      <c r="K119" s="17" t="str">
        <f>IF(OR(TEXT(K$13,"ddd")="Sun",K$13="",$D119=""),"",IF('Leave Planner'!I120="",1,0))</f>
        <v/>
      </c>
      <c r="L119" s="17" t="str">
        <f>IF(OR(TEXT(L$13,"ddd")="Sun",L$13="",$D119=""),"",IF('Leave Planner'!J120="",1,0))</f>
        <v/>
      </c>
      <c r="M119" s="17" t="str">
        <f>IF(OR(TEXT(M$13,"ddd")="Sun",M$13="",$D119=""),"",IF('Leave Planner'!K120="",1,0))</f>
        <v/>
      </c>
      <c r="N119" s="17" t="str">
        <f>IF(OR(TEXT(N$13,"ddd")="Sun",N$13="",$D119=""),"",IF('Leave Planner'!L120="",1,0))</f>
        <v/>
      </c>
      <c r="O119" s="17" t="str">
        <f>IF(OR(TEXT(O$13,"ddd")="Sun",O$13="",$D119=""),"",IF('Leave Planner'!M120="",1,0))</f>
        <v/>
      </c>
      <c r="P119" s="17" t="str">
        <f>IF(OR(TEXT(P$13,"ddd")="Sun",P$13="",$D119=""),"",IF('Leave Planner'!N120="",1,0))</f>
        <v/>
      </c>
      <c r="Q119" s="17" t="str">
        <f>IF(OR(TEXT(Q$13,"ddd")="Sun",Q$13="",$D119=""),"",IF('Leave Planner'!O120="",1,0))</f>
        <v/>
      </c>
      <c r="R119" s="17" t="str">
        <f>IF(OR(TEXT(R$13,"ddd")="Sun",R$13="",$D119=""),"",IF('Leave Planner'!P120="",1,0))</f>
        <v/>
      </c>
      <c r="S119" s="17" t="str">
        <f>IF(OR(TEXT(S$13,"ddd")="Sun",S$13="",$D119=""),"",IF('Leave Planner'!Q120="",1,0))</f>
        <v/>
      </c>
      <c r="T119" s="17" t="str">
        <f>IF(OR(TEXT(T$13,"ddd")="Sun",T$13="",$D119=""),"",IF('Leave Planner'!R120="",1,0))</f>
        <v/>
      </c>
      <c r="U119" s="17" t="str">
        <f>IF(OR(TEXT(U$13,"ddd")="Sun",U$13="",$D119=""),"",IF('Leave Planner'!S120="",1,0))</f>
        <v/>
      </c>
      <c r="V119" s="17" t="str">
        <f>IF(OR(TEXT(V$13,"ddd")="Sun",V$13="",$D119=""),"",IF('Leave Planner'!T120="",1,0))</f>
        <v/>
      </c>
      <c r="W119" s="17" t="str">
        <f>IF(OR(TEXT(W$13,"ddd")="Sun",W$13="",$D119=""),"",IF('Leave Planner'!U120="",1,0))</f>
        <v/>
      </c>
      <c r="X119" s="17" t="str">
        <f>IF(OR(TEXT(X$13,"ddd")="Sun",X$13="",$D119=""),"",IF('Leave Planner'!V120="",1,0))</f>
        <v/>
      </c>
      <c r="Y119" s="17" t="str">
        <f>IF(OR(TEXT(Y$13,"ddd")="Sun",Y$13="",$D119=""),"",IF('Leave Planner'!W120="",1,0))</f>
        <v/>
      </c>
      <c r="Z119" s="17" t="str">
        <f>IF(OR(TEXT(Z$13,"ddd")="Sun",Z$13="",$D119=""),"",IF('Leave Planner'!X120="",1,0))</f>
        <v/>
      </c>
      <c r="AA119" s="17" t="str">
        <f>IF(OR(TEXT(AA$13,"ddd")="Sun",AA$13="",$D119=""),"",IF('Leave Planner'!Y120="",1,0))</f>
        <v/>
      </c>
      <c r="AB119" s="17" t="str">
        <f>IF(OR(TEXT(AB$13,"ddd")="Sun",AB$13="",$D119=""),"",IF('Leave Planner'!Z120="",1,0))</f>
        <v/>
      </c>
      <c r="AC119" s="17" t="str">
        <f>IF(OR(TEXT(AC$13,"ddd")="Sun",AC$13="",$D119=""),"",IF('Leave Planner'!AA120="",1,0))</f>
        <v/>
      </c>
      <c r="AD119" s="17" t="str">
        <f>IF(OR(TEXT(AD$13,"ddd")="Sun",AD$13="",$D119=""),"",IF('Leave Planner'!AB120="",1,0))</f>
        <v/>
      </c>
      <c r="AE119" s="17" t="str">
        <f>IF(OR(TEXT(AE$13,"ddd")="Sun",AE$13="",$D119=""),"",IF('Leave Planner'!AC120="",1,0))</f>
        <v/>
      </c>
      <c r="AF119" s="17" t="str">
        <f>IF(OR(TEXT(AF$13,"ddd")="Sun",AF$13="",$D119=""),"",IF('Leave Planner'!AD120="",1,0))</f>
        <v/>
      </c>
      <c r="AG119" s="17" t="str">
        <f>IF(OR(TEXT(AG$13,"ddd")="Sun",AG$13="",$D119=""),"",IF('Leave Planner'!AE120="",1,0))</f>
        <v/>
      </c>
      <c r="AH119" s="17" t="str">
        <f>IF(OR(TEXT(AH$13,"ddd")="Sun",AH$13="",$D119=""),"",IF('Leave Planner'!AF120="",1,0))</f>
        <v/>
      </c>
      <c r="AI119" s="17" t="str">
        <f>IF(OR(TEXT(AI$13,"ddd")="Sun",AI$13="",$D119=""),"",IF('Leave Planner'!AG120="",1,0))</f>
        <v/>
      </c>
      <c r="AJ119" s="17" t="str">
        <f>IF(OR(TEXT(AJ$13,"ddd")="Sun",AJ$13="",$D119=""),"",IF('Leave Planner'!AH120="",1,0))</f>
        <v/>
      </c>
    </row>
    <row r="120" spans="2:36" x14ac:dyDescent="0.75">
      <c r="B120" s="15"/>
      <c r="C120" s="22"/>
      <c r="D120" s="22"/>
      <c r="E120" s="42" t="str">
        <f t="shared" si="6"/>
        <v/>
      </c>
      <c r="F120" s="17" t="str">
        <f>IF(OR(TEXT(F$13,"ddd")="Sun",F$13="",$D120=""),"",IF('Leave Planner'!D121="",1,0))</f>
        <v/>
      </c>
      <c r="G120" s="17" t="str">
        <f>IF(OR(TEXT(G$13,"ddd")="Sun",G$13="",$D120=""),"",IF('Leave Planner'!E121="",1,0))</f>
        <v/>
      </c>
      <c r="H120" s="17" t="str">
        <f>IF(OR(TEXT(H$13,"ddd")="Sun",H$13="",$D120=""),"",IF('Leave Planner'!F121="",1,0))</f>
        <v/>
      </c>
      <c r="I120" s="17" t="str">
        <f>IF(OR(TEXT(I$13,"ddd")="Sun",I$13="",$D120=""),"",IF('Leave Planner'!G121="",1,0))</f>
        <v/>
      </c>
      <c r="J120" s="17" t="str">
        <f>IF(OR(TEXT(J$13,"ddd")="Sun",J$13="",$D120=""),"",IF('Leave Planner'!H121="",1,0))</f>
        <v/>
      </c>
      <c r="K120" s="17" t="str">
        <f>IF(OR(TEXT(K$13,"ddd")="Sun",K$13="",$D120=""),"",IF('Leave Planner'!I121="",1,0))</f>
        <v/>
      </c>
      <c r="L120" s="17" t="str">
        <f>IF(OR(TEXT(L$13,"ddd")="Sun",L$13="",$D120=""),"",IF('Leave Planner'!J121="",1,0))</f>
        <v/>
      </c>
      <c r="M120" s="17" t="str">
        <f>IF(OR(TEXT(M$13,"ddd")="Sun",M$13="",$D120=""),"",IF('Leave Planner'!K121="",1,0))</f>
        <v/>
      </c>
      <c r="N120" s="17" t="str">
        <f>IF(OR(TEXT(N$13,"ddd")="Sun",N$13="",$D120=""),"",IF('Leave Planner'!L121="",1,0))</f>
        <v/>
      </c>
      <c r="O120" s="17" t="str">
        <f>IF(OR(TEXT(O$13,"ddd")="Sun",O$13="",$D120=""),"",IF('Leave Planner'!M121="",1,0))</f>
        <v/>
      </c>
      <c r="P120" s="17" t="str">
        <f>IF(OR(TEXT(P$13,"ddd")="Sun",P$13="",$D120=""),"",IF('Leave Planner'!N121="",1,0))</f>
        <v/>
      </c>
      <c r="Q120" s="17" t="str">
        <f>IF(OR(TEXT(Q$13,"ddd")="Sun",Q$13="",$D120=""),"",IF('Leave Planner'!O121="",1,0))</f>
        <v/>
      </c>
      <c r="R120" s="17" t="str">
        <f>IF(OR(TEXT(R$13,"ddd")="Sun",R$13="",$D120=""),"",IF('Leave Planner'!P121="",1,0))</f>
        <v/>
      </c>
      <c r="S120" s="17" t="str">
        <f>IF(OR(TEXT(S$13,"ddd")="Sun",S$13="",$D120=""),"",IF('Leave Planner'!Q121="",1,0))</f>
        <v/>
      </c>
      <c r="T120" s="17" t="str">
        <f>IF(OR(TEXT(T$13,"ddd")="Sun",T$13="",$D120=""),"",IF('Leave Planner'!R121="",1,0))</f>
        <v/>
      </c>
      <c r="U120" s="17" t="str">
        <f>IF(OR(TEXT(U$13,"ddd")="Sun",U$13="",$D120=""),"",IF('Leave Planner'!S121="",1,0))</f>
        <v/>
      </c>
      <c r="V120" s="17" t="str">
        <f>IF(OR(TEXT(V$13,"ddd")="Sun",V$13="",$D120=""),"",IF('Leave Planner'!T121="",1,0))</f>
        <v/>
      </c>
      <c r="W120" s="17" t="str">
        <f>IF(OR(TEXT(W$13,"ddd")="Sun",W$13="",$D120=""),"",IF('Leave Planner'!U121="",1,0))</f>
        <v/>
      </c>
      <c r="X120" s="17" t="str">
        <f>IF(OR(TEXT(X$13,"ddd")="Sun",X$13="",$D120=""),"",IF('Leave Planner'!V121="",1,0))</f>
        <v/>
      </c>
      <c r="Y120" s="17" t="str">
        <f>IF(OR(TEXT(Y$13,"ddd")="Sun",Y$13="",$D120=""),"",IF('Leave Planner'!W121="",1,0))</f>
        <v/>
      </c>
      <c r="Z120" s="17" t="str">
        <f>IF(OR(TEXT(Z$13,"ddd")="Sun",Z$13="",$D120=""),"",IF('Leave Planner'!X121="",1,0))</f>
        <v/>
      </c>
      <c r="AA120" s="17" t="str">
        <f>IF(OR(TEXT(AA$13,"ddd")="Sun",AA$13="",$D120=""),"",IF('Leave Planner'!Y121="",1,0))</f>
        <v/>
      </c>
      <c r="AB120" s="17" t="str">
        <f>IF(OR(TEXT(AB$13,"ddd")="Sun",AB$13="",$D120=""),"",IF('Leave Planner'!Z121="",1,0))</f>
        <v/>
      </c>
      <c r="AC120" s="17" t="str">
        <f>IF(OR(TEXT(AC$13,"ddd")="Sun",AC$13="",$D120=""),"",IF('Leave Planner'!AA121="",1,0))</f>
        <v/>
      </c>
      <c r="AD120" s="17" t="str">
        <f>IF(OR(TEXT(AD$13,"ddd")="Sun",AD$13="",$D120=""),"",IF('Leave Planner'!AB121="",1,0))</f>
        <v/>
      </c>
      <c r="AE120" s="17" t="str">
        <f>IF(OR(TEXT(AE$13,"ddd")="Sun",AE$13="",$D120=""),"",IF('Leave Planner'!AC121="",1,0))</f>
        <v/>
      </c>
      <c r="AF120" s="17" t="str">
        <f>IF(OR(TEXT(AF$13,"ddd")="Sun",AF$13="",$D120=""),"",IF('Leave Planner'!AD121="",1,0))</f>
        <v/>
      </c>
      <c r="AG120" s="17" t="str">
        <f>IF(OR(TEXT(AG$13,"ddd")="Sun",AG$13="",$D120=""),"",IF('Leave Planner'!AE121="",1,0))</f>
        <v/>
      </c>
      <c r="AH120" s="17" t="str">
        <f>IF(OR(TEXT(AH$13,"ddd")="Sun",AH$13="",$D120=""),"",IF('Leave Planner'!AF121="",1,0))</f>
        <v/>
      </c>
      <c r="AI120" s="17" t="str">
        <f>IF(OR(TEXT(AI$13,"ddd")="Sun",AI$13="",$D120=""),"",IF('Leave Planner'!AG121="",1,0))</f>
        <v/>
      </c>
      <c r="AJ120" s="17" t="str">
        <f>IF(OR(TEXT(AJ$13,"ddd")="Sun",AJ$13="",$D120=""),"",IF('Leave Planner'!AH121="",1,0))</f>
        <v/>
      </c>
    </row>
    <row r="121" spans="2:36" x14ac:dyDescent="0.75">
      <c r="B121" s="15"/>
      <c r="C121" s="22"/>
      <c r="D121" s="22"/>
      <c r="E121" s="42" t="str">
        <f t="shared" si="6"/>
        <v/>
      </c>
      <c r="F121" s="17" t="str">
        <f>IF(OR(TEXT(F$13,"ddd")="Sun",F$13="",$D121=""),"",IF('Leave Planner'!D122="",1,0))</f>
        <v/>
      </c>
      <c r="G121" s="17" t="str">
        <f>IF(OR(TEXT(G$13,"ddd")="Sun",G$13="",$D121=""),"",IF('Leave Planner'!E122="",1,0))</f>
        <v/>
      </c>
      <c r="H121" s="17" t="str">
        <f>IF(OR(TEXT(H$13,"ddd")="Sun",H$13="",$D121=""),"",IF('Leave Planner'!F122="",1,0))</f>
        <v/>
      </c>
      <c r="I121" s="17" t="str">
        <f>IF(OR(TEXT(I$13,"ddd")="Sun",I$13="",$D121=""),"",IF('Leave Planner'!G122="",1,0))</f>
        <v/>
      </c>
      <c r="J121" s="17" t="str">
        <f>IF(OR(TEXT(J$13,"ddd")="Sun",J$13="",$D121=""),"",IF('Leave Planner'!H122="",1,0))</f>
        <v/>
      </c>
      <c r="K121" s="17" t="str">
        <f>IF(OR(TEXT(K$13,"ddd")="Sun",K$13="",$D121=""),"",IF('Leave Planner'!I122="",1,0))</f>
        <v/>
      </c>
      <c r="L121" s="17" t="str">
        <f>IF(OR(TEXT(L$13,"ddd")="Sun",L$13="",$D121=""),"",IF('Leave Planner'!J122="",1,0))</f>
        <v/>
      </c>
      <c r="M121" s="17" t="str">
        <f>IF(OR(TEXT(M$13,"ddd")="Sun",M$13="",$D121=""),"",IF('Leave Planner'!K122="",1,0))</f>
        <v/>
      </c>
      <c r="N121" s="17" t="str">
        <f>IF(OR(TEXT(N$13,"ddd")="Sun",N$13="",$D121=""),"",IF('Leave Planner'!L122="",1,0))</f>
        <v/>
      </c>
      <c r="O121" s="17" t="str">
        <f>IF(OR(TEXT(O$13,"ddd")="Sun",O$13="",$D121=""),"",IF('Leave Planner'!M122="",1,0))</f>
        <v/>
      </c>
      <c r="P121" s="17" t="str">
        <f>IF(OR(TEXT(P$13,"ddd")="Sun",P$13="",$D121=""),"",IF('Leave Planner'!N122="",1,0))</f>
        <v/>
      </c>
      <c r="Q121" s="17" t="str">
        <f>IF(OR(TEXT(Q$13,"ddd")="Sun",Q$13="",$D121=""),"",IF('Leave Planner'!O122="",1,0))</f>
        <v/>
      </c>
      <c r="R121" s="17" t="str">
        <f>IF(OR(TEXT(R$13,"ddd")="Sun",R$13="",$D121=""),"",IF('Leave Planner'!P122="",1,0))</f>
        <v/>
      </c>
      <c r="S121" s="17" t="str">
        <f>IF(OR(TEXT(S$13,"ddd")="Sun",S$13="",$D121=""),"",IF('Leave Planner'!Q122="",1,0))</f>
        <v/>
      </c>
      <c r="T121" s="17" t="str">
        <f>IF(OR(TEXT(T$13,"ddd")="Sun",T$13="",$D121=""),"",IF('Leave Planner'!R122="",1,0))</f>
        <v/>
      </c>
      <c r="U121" s="17" t="str">
        <f>IF(OR(TEXT(U$13,"ddd")="Sun",U$13="",$D121=""),"",IF('Leave Planner'!S122="",1,0))</f>
        <v/>
      </c>
      <c r="V121" s="17" t="str">
        <f>IF(OR(TEXT(V$13,"ddd")="Sun",V$13="",$D121=""),"",IF('Leave Planner'!T122="",1,0))</f>
        <v/>
      </c>
      <c r="W121" s="17" t="str">
        <f>IF(OR(TEXT(W$13,"ddd")="Sun",W$13="",$D121=""),"",IF('Leave Planner'!U122="",1,0))</f>
        <v/>
      </c>
      <c r="X121" s="17" t="str">
        <f>IF(OR(TEXT(X$13,"ddd")="Sun",X$13="",$D121=""),"",IF('Leave Planner'!V122="",1,0))</f>
        <v/>
      </c>
      <c r="Y121" s="17" t="str">
        <f>IF(OR(TEXT(Y$13,"ddd")="Sun",Y$13="",$D121=""),"",IF('Leave Planner'!W122="",1,0))</f>
        <v/>
      </c>
      <c r="Z121" s="17" t="str">
        <f>IF(OR(TEXT(Z$13,"ddd")="Sun",Z$13="",$D121=""),"",IF('Leave Planner'!X122="",1,0))</f>
        <v/>
      </c>
      <c r="AA121" s="17" t="str">
        <f>IF(OR(TEXT(AA$13,"ddd")="Sun",AA$13="",$D121=""),"",IF('Leave Planner'!Y122="",1,0))</f>
        <v/>
      </c>
      <c r="AB121" s="17" t="str">
        <f>IF(OR(TEXT(AB$13,"ddd")="Sun",AB$13="",$D121=""),"",IF('Leave Planner'!Z122="",1,0))</f>
        <v/>
      </c>
      <c r="AC121" s="17" t="str">
        <f>IF(OR(TEXT(AC$13,"ddd")="Sun",AC$13="",$D121=""),"",IF('Leave Planner'!AA122="",1,0))</f>
        <v/>
      </c>
      <c r="AD121" s="17" t="str">
        <f>IF(OR(TEXT(AD$13,"ddd")="Sun",AD$13="",$D121=""),"",IF('Leave Planner'!AB122="",1,0))</f>
        <v/>
      </c>
      <c r="AE121" s="17" t="str">
        <f>IF(OR(TEXT(AE$13,"ddd")="Sun",AE$13="",$D121=""),"",IF('Leave Planner'!AC122="",1,0))</f>
        <v/>
      </c>
      <c r="AF121" s="17" t="str">
        <f>IF(OR(TEXT(AF$13,"ddd")="Sun",AF$13="",$D121=""),"",IF('Leave Planner'!AD122="",1,0))</f>
        <v/>
      </c>
      <c r="AG121" s="17" t="str">
        <f>IF(OR(TEXT(AG$13,"ddd")="Sun",AG$13="",$D121=""),"",IF('Leave Planner'!AE122="",1,0))</f>
        <v/>
      </c>
      <c r="AH121" s="17" t="str">
        <f>IF(OR(TEXT(AH$13,"ddd")="Sun",AH$13="",$D121=""),"",IF('Leave Planner'!AF122="",1,0))</f>
        <v/>
      </c>
      <c r="AI121" s="17" t="str">
        <f>IF(OR(TEXT(AI$13,"ddd")="Sun",AI$13="",$D121=""),"",IF('Leave Planner'!AG122="",1,0))</f>
        <v/>
      </c>
      <c r="AJ121" s="17" t="str">
        <f>IF(OR(TEXT(AJ$13,"ddd")="Sun",AJ$13="",$D121=""),"",IF('Leave Planner'!AH122="",1,0))</f>
        <v/>
      </c>
    </row>
    <row r="122" spans="2:36" x14ac:dyDescent="0.75">
      <c r="B122" s="15"/>
      <c r="C122" s="22"/>
      <c r="D122" s="22"/>
      <c r="E122" s="42" t="str">
        <f t="shared" si="6"/>
        <v/>
      </c>
      <c r="F122" s="17" t="str">
        <f>IF(OR(TEXT(F$13,"ddd")="Sun",F$13="",$D122=""),"",IF('Leave Planner'!D123="",1,0))</f>
        <v/>
      </c>
      <c r="G122" s="17" t="str">
        <f>IF(OR(TEXT(G$13,"ddd")="Sun",G$13="",$D122=""),"",IF('Leave Planner'!E123="",1,0))</f>
        <v/>
      </c>
      <c r="H122" s="17" t="str">
        <f>IF(OR(TEXT(H$13,"ddd")="Sun",H$13="",$D122=""),"",IF('Leave Planner'!F123="",1,0))</f>
        <v/>
      </c>
      <c r="I122" s="17" t="str">
        <f>IF(OR(TEXT(I$13,"ddd")="Sun",I$13="",$D122=""),"",IF('Leave Planner'!G123="",1,0))</f>
        <v/>
      </c>
      <c r="J122" s="17" t="str">
        <f>IF(OR(TEXT(J$13,"ddd")="Sun",J$13="",$D122=""),"",IF('Leave Planner'!H123="",1,0))</f>
        <v/>
      </c>
      <c r="K122" s="17" t="str">
        <f>IF(OR(TEXT(K$13,"ddd")="Sun",K$13="",$D122=""),"",IF('Leave Planner'!I123="",1,0))</f>
        <v/>
      </c>
      <c r="L122" s="17" t="str">
        <f>IF(OR(TEXT(L$13,"ddd")="Sun",L$13="",$D122=""),"",IF('Leave Planner'!J123="",1,0))</f>
        <v/>
      </c>
      <c r="M122" s="17" t="str">
        <f>IF(OR(TEXT(M$13,"ddd")="Sun",M$13="",$D122=""),"",IF('Leave Planner'!K123="",1,0))</f>
        <v/>
      </c>
      <c r="N122" s="17" t="str">
        <f>IF(OR(TEXT(N$13,"ddd")="Sun",N$13="",$D122=""),"",IF('Leave Planner'!L123="",1,0))</f>
        <v/>
      </c>
      <c r="O122" s="17" t="str">
        <f>IF(OR(TEXT(O$13,"ddd")="Sun",O$13="",$D122=""),"",IF('Leave Planner'!M123="",1,0))</f>
        <v/>
      </c>
      <c r="P122" s="17" t="str">
        <f>IF(OR(TEXT(P$13,"ddd")="Sun",P$13="",$D122=""),"",IF('Leave Planner'!N123="",1,0))</f>
        <v/>
      </c>
      <c r="Q122" s="17" t="str">
        <f>IF(OR(TEXT(Q$13,"ddd")="Sun",Q$13="",$D122=""),"",IF('Leave Planner'!O123="",1,0))</f>
        <v/>
      </c>
      <c r="R122" s="17" t="str">
        <f>IF(OR(TEXT(R$13,"ddd")="Sun",R$13="",$D122=""),"",IF('Leave Planner'!P123="",1,0))</f>
        <v/>
      </c>
      <c r="S122" s="17" t="str">
        <f>IF(OR(TEXT(S$13,"ddd")="Sun",S$13="",$D122=""),"",IF('Leave Planner'!Q123="",1,0))</f>
        <v/>
      </c>
      <c r="T122" s="17" t="str">
        <f>IF(OR(TEXT(T$13,"ddd")="Sun",T$13="",$D122=""),"",IF('Leave Planner'!R123="",1,0))</f>
        <v/>
      </c>
      <c r="U122" s="17" t="str">
        <f>IF(OR(TEXT(U$13,"ddd")="Sun",U$13="",$D122=""),"",IF('Leave Planner'!S123="",1,0))</f>
        <v/>
      </c>
      <c r="V122" s="17" t="str">
        <f>IF(OR(TEXT(V$13,"ddd")="Sun",V$13="",$D122=""),"",IF('Leave Planner'!T123="",1,0))</f>
        <v/>
      </c>
      <c r="W122" s="17" t="str">
        <f>IF(OR(TEXT(W$13,"ddd")="Sun",W$13="",$D122=""),"",IF('Leave Planner'!U123="",1,0))</f>
        <v/>
      </c>
      <c r="X122" s="17" t="str">
        <f>IF(OR(TEXT(X$13,"ddd")="Sun",X$13="",$D122=""),"",IF('Leave Planner'!V123="",1,0))</f>
        <v/>
      </c>
      <c r="Y122" s="17" t="str">
        <f>IF(OR(TEXT(Y$13,"ddd")="Sun",Y$13="",$D122=""),"",IF('Leave Planner'!W123="",1,0))</f>
        <v/>
      </c>
      <c r="Z122" s="17" t="str">
        <f>IF(OR(TEXT(Z$13,"ddd")="Sun",Z$13="",$D122=""),"",IF('Leave Planner'!X123="",1,0))</f>
        <v/>
      </c>
      <c r="AA122" s="17" t="str">
        <f>IF(OR(TEXT(AA$13,"ddd")="Sun",AA$13="",$D122=""),"",IF('Leave Planner'!Y123="",1,0))</f>
        <v/>
      </c>
      <c r="AB122" s="17" t="str">
        <f>IF(OR(TEXT(AB$13,"ddd")="Sun",AB$13="",$D122=""),"",IF('Leave Planner'!Z123="",1,0))</f>
        <v/>
      </c>
      <c r="AC122" s="17" t="str">
        <f>IF(OR(TEXT(AC$13,"ddd")="Sun",AC$13="",$D122=""),"",IF('Leave Planner'!AA123="",1,0))</f>
        <v/>
      </c>
      <c r="AD122" s="17" t="str">
        <f>IF(OR(TEXT(AD$13,"ddd")="Sun",AD$13="",$D122=""),"",IF('Leave Planner'!AB123="",1,0))</f>
        <v/>
      </c>
      <c r="AE122" s="17" t="str">
        <f>IF(OR(TEXT(AE$13,"ddd")="Sun",AE$13="",$D122=""),"",IF('Leave Planner'!AC123="",1,0))</f>
        <v/>
      </c>
      <c r="AF122" s="17" t="str">
        <f>IF(OR(TEXT(AF$13,"ddd")="Sun",AF$13="",$D122=""),"",IF('Leave Planner'!AD123="",1,0))</f>
        <v/>
      </c>
      <c r="AG122" s="17" t="str">
        <f>IF(OR(TEXT(AG$13,"ddd")="Sun",AG$13="",$D122=""),"",IF('Leave Planner'!AE123="",1,0))</f>
        <v/>
      </c>
      <c r="AH122" s="17" t="str">
        <f>IF(OR(TEXT(AH$13,"ddd")="Sun",AH$13="",$D122=""),"",IF('Leave Planner'!AF123="",1,0))</f>
        <v/>
      </c>
      <c r="AI122" s="17" t="str">
        <f>IF(OR(TEXT(AI$13,"ddd")="Sun",AI$13="",$D122=""),"",IF('Leave Planner'!AG123="",1,0))</f>
        <v/>
      </c>
      <c r="AJ122" s="17" t="str">
        <f>IF(OR(TEXT(AJ$13,"ddd")="Sun",AJ$13="",$D122=""),"",IF('Leave Planner'!AH123="",1,0))</f>
        <v/>
      </c>
    </row>
    <row r="123" spans="2:36" x14ac:dyDescent="0.75">
      <c r="B123" s="15"/>
      <c r="C123" s="22"/>
      <c r="D123" s="22"/>
      <c r="E123" s="42" t="str">
        <f t="shared" si="6"/>
        <v/>
      </c>
      <c r="F123" s="17" t="str">
        <f>IF(OR(TEXT(F$13,"ddd")="Sun",F$13="",$D123=""),"",IF('Leave Planner'!D124="",1,0))</f>
        <v/>
      </c>
      <c r="G123" s="17" t="str">
        <f>IF(OR(TEXT(G$13,"ddd")="Sun",G$13="",$D123=""),"",IF('Leave Planner'!E124="",1,0))</f>
        <v/>
      </c>
      <c r="H123" s="17" t="str">
        <f>IF(OR(TEXT(H$13,"ddd")="Sun",H$13="",$D123=""),"",IF('Leave Planner'!F124="",1,0))</f>
        <v/>
      </c>
      <c r="I123" s="17" t="str">
        <f>IF(OR(TEXT(I$13,"ddd")="Sun",I$13="",$D123=""),"",IF('Leave Planner'!G124="",1,0))</f>
        <v/>
      </c>
      <c r="J123" s="17" t="str">
        <f>IF(OR(TEXT(J$13,"ddd")="Sun",J$13="",$D123=""),"",IF('Leave Planner'!H124="",1,0))</f>
        <v/>
      </c>
      <c r="K123" s="17" t="str">
        <f>IF(OR(TEXT(K$13,"ddd")="Sun",K$13="",$D123=""),"",IF('Leave Planner'!I124="",1,0))</f>
        <v/>
      </c>
      <c r="L123" s="17" t="str">
        <f>IF(OR(TEXT(L$13,"ddd")="Sun",L$13="",$D123=""),"",IF('Leave Planner'!J124="",1,0))</f>
        <v/>
      </c>
      <c r="M123" s="17" t="str">
        <f>IF(OR(TEXT(M$13,"ddd")="Sun",M$13="",$D123=""),"",IF('Leave Planner'!K124="",1,0))</f>
        <v/>
      </c>
      <c r="N123" s="17" t="str">
        <f>IF(OR(TEXT(N$13,"ddd")="Sun",N$13="",$D123=""),"",IF('Leave Planner'!L124="",1,0))</f>
        <v/>
      </c>
      <c r="O123" s="17" t="str">
        <f>IF(OR(TEXT(O$13,"ddd")="Sun",O$13="",$D123=""),"",IF('Leave Planner'!M124="",1,0))</f>
        <v/>
      </c>
      <c r="P123" s="17" t="str">
        <f>IF(OR(TEXT(P$13,"ddd")="Sun",P$13="",$D123=""),"",IF('Leave Planner'!N124="",1,0))</f>
        <v/>
      </c>
      <c r="Q123" s="17" t="str">
        <f>IF(OR(TEXT(Q$13,"ddd")="Sun",Q$13="",$D123=""),"",IF('Leave Planner'!O124="",1,0))</f>
        <v/>
      </c>
      <c r="R123" s="17" t="str">
        <f>IF(OR(TEXT(R$13,"ddd")="Sun",R$13="",$D123=""),"",IF('Leave Planner'!P124="",1,0))</f>
        <v/>
      </c>
      <c r="S123" s="17" t="str">
        <f>IF(OR(TEXT(S$13,"ddd")="Sun",S$13="",$D123=""),"",IF('Leave Planner'!Q124="",1,0))</f>
        <v/>
      </c>
      <c r="T123" s="17" t="str">
        <f>IF(OR(TEXT(T$13,"ddd")="Sun",T$13="",$D123=""),"",IF('Leave Planner'!R124="",1,0))</f>
        <v/>
      </c>
      <c r="U123" s="17" t="str">
        <f>IF(OR(TEXT(U$13,"ddd")="Sun",U$13="",$D123=""),"",IF('Leave Planner'!S124="",1,0))</f>
        <v/>
      </c>
      <c r="V123" s="17" t="str">
        <f>IF(OR(TEXT(V$13,"ddd")="Sun",V$13="",$D123=""),"",IF('Leave Planner'!T124="",1,0))</f>
        <v/>
      </c>
      <c r="W123" s="17" t="str">
        <f>IF(OR(TEXT(W$13,"ddd")="Sun",W$13="",$D123=""),"",IF('Leave Planner'!U124="",1,0))</f>
        <v/>
      </c>
      <c r="X123" s="17" t="str">
        <f>IF(OR(TEXT(X$13,"ddd")="Sun",X$13="",$D123=""),"",IF('Leave Planner'!V124="",1,0))</f>
        <v/>
      </c>
      <c r="Y123" s="17" t="str">
        <f>IF(OR(TEXT(Y$13,"ddd")="Sun",Y$13="",$D123=""),"",IF('Leave Planner'!W124="",1,0))</f>
        <v/>
      </c>
      <c r="Z123" s="17" t="str">
        <f>IF(OR(TEXT(Z$13,"ddd")="Sun",Z$13="",$D123=""),"",IF('Leave Planner'!X124="",1,0))</f>
        <v/>
      </c>
      <c r="AA123" s="17" t="str">
        <f>IF(OR(TEXT(AA$13,"ddd")="Sun",AA$13="",$D123=""),"",IF('Leave Planner'!Y124="",1,0))</f>
        <v/>
      </c>
      <c r="AB123" s="17" t="str">
        <f>IF(OR(TEXT(AB$13,"ddd")="Sun",AB$13="",$D123=""),"",IF('Leave Planner'!Z124="",1,0))</f>
        <v/>
      </c>
      <c r="AC123" s="17" t="str">
        <f>IF(OR(TEXT(AC$13,"ddd")="Sun",AC$13="",$D123=""),"",IF('Leave Planner'!AA124="",1,0))</f>
        <v/>
      </c>
      <c r="AD123" s="17" t="str">
        <f>IF(OR(TEXT(AD$13,"ddd")="Sun",AD$13="",$D123=""),"",IF('Leave Planner'!AB124="",1,0))</f>
        <v/>
      </c>
      <c r="AE123" s="17" t="str">
        <f>IF(OR(TEXT(AE$13,"ddd")="Sun",AE$13="",$D123=""),"",IF('Leave Planner'!AC124="",1,0))</f>
        <v/>
      </c>
      <c r="AF123" s="17" t="str">
        <f>IF(OR(TEXT(AF$13,"ddd")="Sun",AF$13="",$D123=""),"",IF('Leave Planner'!AD124="",1,0))</f>
        <v/>
      </c>
      <c r="AG123" s="17" t="str">
        <f>IF(OR(TEXT(AG$13,"ddd")="Sun",AG$13="",$D123=""),"",IF('Leave Planner'!AE124="",1,0))</f>
        <v/>
      </c>
      <c r="AH123" s="17" t="str">
        <f>IF(OR(TEXT(AH$13,"ddd")="Sun",AH$13="",$D123=""),"",IF('Leave Planner'!AF124="",1,0))</f>
        <v/>
      </c>
      <c r="AI123" s="17" t="str">
        <f>IF(OR(TEXT(AI$13,"ddd")="Sun",AI$13="",$D123=""),"",IF('Leave Planner'!AG124="",1,0))</f>
        <v/>
      </c>
      <c r="AJ123" s="17" t="str">
        <f>IF(OR(TEXT(AJ$13,"ddd")="Sun",AJ$13="",$D123=""),"",IF('Leave Planner'!AH124="",1,0))</f>
        <v/>
      </c>
    </row>
    <row r="124" spans="2:36" x14ac:dyDescent="0.75">
      <c r="B124" s="15"/>
      <c r="C124" s="22"/>
      <c r="D124" s="22"/>
      <c r="E124" s="42" t="str">
        <f t="shared" si="6"/>
        <v/>
      </c>
      <c r="F124" s="17" t="str">
        <f>IF(OR(TEXT(F$13,"ddd")="Sun",F$13="",$D124=""),"",IF('Leave Planner'!D125="",1,0))</f>
        <v/>
      </c>
      <c r="G124" s="17" t="str">
        <f>IF(OR(TEXT(G$13,"ddd")="Sun",G$13="",$D124=""),"",IF('Leave Planner'!E125="",1,0))</f>
        <v/>
      </c>
      <c r="H124" s="17" t="str">
        <f>IF(OR(TEXT(H$13,"ddd")="Sun",H$13="",$D124=""),"",IF('Leave Planner'!F125="",1,0))</f>
        <v/>
      </c>
      <c r="I124" s="17" t="str">
        <f>IF(OR(TEXT(I$13,"ddd")="Sun",I$13="",$D124=""),"",IF('Leave Planner'!G125="",1,0))</f>
        <v/>
      </c>
      <c r="J124" s="17" t="str">
        <f>IF(OR(TEXT(J$13,"ddd")="Sun",J$13="",$D124=""),"",IF('Leave Planner'!H125="",1,0))</f>
        <v/>
      </c>
      <c r="K124" s="17" t="str">
        <f>IF(OR(TEXT(K$13,"ddd")="Sun",K$13="",$D124=""),"",IF('Leave Planner'!I125="",1,0))</f>
        <v/>
      </c>
      <c r="L124" s="17" t="str">
        <f>IF(OR(TEXT(L$13,"ddd")="Sun",L$13="",$D124=""),"",IF('Leave Planner'!J125="",1,0))</f>
        <v/>
      </c>
      <c r="M124" s="17" t="str">
        <f>IF(OR(TEXT(M$13,"ddd")="Sun",M$13="",$D124=""),"",IF('Leave Planner'!K125="",1,0))</f>
        <v/>
      </c>
      <c r="N124" s="17" t="str">
        <f>IF(OR(TEXT(N$13,"ddd")="Sun",N$13="",$D124=""),"",IF('Leave Planner'!L125="",1,0))</f>
        <v/>
      </c>
      <c r="O124" s="17" t="str">
        <f>IF(OR(TEXT(O$13,"ddd")="Sun",O$13="",$D124=""),"",IF('Leave Planner'!M125="",1,0))</f>
        <v/>
      </c>
      <c r="P124" s="17" t="str">
        <f>IF(OR(TEXT(P$13,"ddd")="Sun",P$13="",$D124=""),"",IF('Leave Planner'!N125="",1,0))</f>
        <v/>
      </c>
      <c r="Q124" s="17" t="str">
        <f>IF(OR(TEXT(Q$13,"ddd")="Sun",Q$13="",$D124=""),"",IF('Leave Planner'!O125="",1,0))</f>
        <v/>
      </c>
      <c r="R124" s="17" t="str">
        <f>IF(OR(TEXT(R$13,"ddd")="Sun",R$13="",$D124=""),"",IF('Leave Planner'!P125="",1,0))</f>
        <v/>
      </c>
      <c r="S124" s="17" t="str">
        <f>IF(OR(TEXT(S$13,"ddd")="Sun",S$13="",$D124=""),"",IF('Leave Planner'!Q125="",1,0))</f>
        <v/>
      </c>
      <c r="T124" s="17" t="str">
        <f>IF(OR(TEXT(T$13,"ddd")="Sun",T$13="",$D124=""),"",IF('Leave Planner'!R125="",1,0))</f>
        <v/>
      </c>
      <c r="U124" s="17" t="str">
        <f>IF(OR(TEXT(U$13,"ddd")="Sun",U$13="",$D124=""),"",IF('Leave Planner'!S125="",1,0))</f>
        <v/>
      </c>
      <c r="V124" s="17" t="str">
        <f>IF(OR(TEXT(V$13,"ddd")="Sun",V$13="",$D124=""),"",IF('Leave Planner'!T125="",1,0))</f>
        <v/>
      </c>
      <c r="W124" s="17" t="str">
        <f>IF(OR(TEXT(W$13,"ddd")="Sun",W$13="",$D124=""),"",IF('Leave Planner'!U125="",1,0))</f>
        <v/>
      </c>
      <c r="X124" s="17" t="str">
        <f>IF(OR(TEXT(X$13,"ddd")="Sun",X$13="",$D124=""),"",IF('Leave Planner'!V125="",1,0))</f>
        <v/>
      </c>
      <c r="Y124" s="17" t="str">
        <f>IF(OR(TEXT(Y$13,"ddd")="Sun",Y$13="",$D124=""),"",IF('Leave Planner'!W125="",1,0))</f>
        <v/>
      </c>
      <c r="Z124" s="17" t="str">
        <f>IF(OR(TEXT(Z$13,"ddd")="Sun",Z$13="",$D124=""),"",IF('Leave Planner'!X125="",1,0))</f>
        <v/>
      </c>
      <c r="AA124" s="17" t="str">
        <f>IF(OR(TEXT(AA$13,"ddd")="Sun",AA$13="",$D124=""),"",IF('Leave Planner'!Y125="",1,0))</f>
        <v/>
      </c>
      <c r="AB124" s="17" t="str">
        <f>IF(OR(TEXT(AB$13,"ddd")="Sun",AB$13="",$D124=""),"",IF('Leave Planner'!Z125="",1,0))</f>
        <v/>
      </c>
      <c r="AC124" s="17" t="str">
        <f>IF(OR(TEXT(AC$13,"ddd")="Sun",AC$13="",$D124=""),"",IF('Leave Planner'!AA125="",1,0))</f>
        <v/>
      </c>
      <c r="AD124" s="17" t="str">
        <f>IF(OR(TEXT(AD$13,"ddd")="Sun",AD$13="",$D124=""),"",IF('Leave Planner'!AB125="",1,0))</f>
        <v/>
      </c>
      <c r="AE124" s="17" t="str">
        <f>IF(OR(TEXT(AE$13,"ddd")="Sun",AE$13="",$D124=""),"",IF('Leave Planner'!AC125="",1,0))</f>
        <v/>
      </c>
      <c r="AF124" s="17" t="str">
        <f>IF(OR(TEXT(AF$13,"ddd")="Sun",AF$13="",$D124=""),"",IF('Leave Planner'!AD125="",1,0))</f>
        <v/>
      </c>
      <c r="AG124" s="17" t="str">
        <f>IF(OR(TEXT(AG$13,"ddd")="Sun",AG$13="",$D124=""),"",IF('Leave Planner'!AE125="",1,0))</f>
        <v/>
      </c>
      <c r="AH124" s="17" t="str">
        <f>IF(OR(TEXT(AH$13,"ddd")="Sun",AH$13="",$D124=""),"",IF('Leave Planner'!AF125="",1,0))</f>
        <v/>
      </c>
      <c r="AI124" s="17" t="str">
        <f>IF(OR(TEXT(AI$13,"ddd")="Sun",AI$13="",$D124=""),"",IF('Leave Planner'!AG125="",1,0))</f>
        <v/>
      </c>
      <c r="AJ124" s="17" t="str">
        <f>IF(OR(TEXT(AJ$13,"ddd")="Sun",AJ$13="",$D124=""),"",IF('Leave Planner'!AH125="",1,0))</f>
        <v/>
      </c>
    </row>
    <row r="125" spans="2:36" x14ac:dyDescent="0.75">
      <c r="B125" s="15"/>
      <c r="C125" s="22"/>
      <c r="D125" s="22"/>
      <c r="E125" s="42" t="str">
        <f t="shared" si="6"/>
        <v/>
      </c>
      <c r="F125" s="17" t="str">
        <f>IF(OR(TEXT(F$13,"ddd")="Sun",F$13="",$D125=""),"",IF('Leave Planner'!D126="",1,0))</f>
        <v/>
      </c>
      <c r="G125" s="17" t="str">
        <f>IF(OR(TEXT(G$13,"ddd")="Sun",G$13="",$D125=""),"",IF('Leave Planner'!E126="",1,0))</f>
        <v/>
      </c>
      <c r="H125" s="17" t="str">
        <f>IF(OR(TEXT(H$13,"ddd")="Sun",H$13="",$D125=""),"",IF('Leave Planner'!F126="",1,0))</f>
        <v/>
      </c>
      <c r="I125" s="17" t="str">
        <f>IF(OR(TEXT(I$13,"ddd")="Sun",I$13="",$D125=""),"",IF('Leave Planner'!G126="",1,0))</f>
        <v/>
      </c>
      <c r="J125" s="17" t="str">
        <f>IF(OR(TEXT(J$13,"ddd")="Sun",J$13="",$D125=""),"",IF('Leave Planner'!H126="",1,0))</f>
        <v/>
      </c>
      <c r="K125" s="17" t="str">
        <f>IF(OR(TEXT(K$13,"ddd")="Sun",K$13="",$D125=""),"",IF('Leave Planner'!I126="",1,0))</f>
        <v/>
      </c>
      <c r="L125" s="17" t="str">
        <f>IF(OR(TEXT(L$13,"ddd")="Sun",L$13="",$D125=""),"",IF('Leave Planner'!J126="",1,0))</f>
        <v/>
      </c>
      <c r="M125" s="17" t="str">
        <f>IF(OR(TEXT(M$13,"ddd")="Sun",M$13="",$D125=""),"",IF('Leave Planner'!K126="",1,0))</f>
        <v/>
      </c>
      <c r="N125" s="17" t="str">
        <f>IF(OR(TEXT(N$13,"ddd")="Sun",N$13="",$D125=""),"",IF('Leave Planner'!L126="",1,0))</f>
        <v/>
      </c>
      <c r="O125" s="17" t="str">
        <f>IF(OR(TEXT(O$13,"ddd")="Sun",O$13="",$D125=""),"",IF('Leave Planner'!M126="",1,0))</f>
        <v/>
      </c>
      <c r="P125" s="17" t="str">
        <f>IF(OR(TEXT(P$13,"ddd")="Sun",P$13="",$D125=""),"",IF('Leave Planner'!N126="",1,0))</f>
        <v/>
      </c>
      <c r="Q125" s="17" t="str">
        <f>IF(OR(TEXT(Q$13,"ddd")="Sun",Q$13="",$D125=""),"",IF('Leave Planner'!O126="",1,0))</f>
        <v/>
      </c>
      <c r="R125" s="17" t="str">
        <f>IF(OR(TEXT(R$13,"ddd")="Sun",R$13="",$D125=""),"",IF('Leave Planner'!P126="",1,0))</f>
        <v/>
      </c>
      <c r="S125" s="17" t="str">
        <f>IF(OR(TEXT(S$13,"ddd")="Sun",S$13="",$D125=""),"",IF('Leave Planner'!Q126="",1,0))</f>
        <v/>
      </c>
      <c r="T125" s="17" t="str">
        <f>IF(OR(TEXT(T$13,"ddd")="Sun",T$13="",$D125=""),"",IF('Leave Planner'!R126="",1,0))</f>
        <v/>
      </c>
      <c r="U125" s="17" t="str">
        <f>IF(OR(TEXT(U$13,"ddd")="Sun",U$13="",$D125=""),"",IF('Leave Planner'!S126="",1,0))</f>
        <v/>
      </c>
      <c r="V125" s="17" t="str">
        <f>IF(OR(TEXT(V$13,"ddd")="Sun",V$13="",$D125=""),"",IF('Leave Planner'!T126="",1,0))</f>
        <v/>
      </c>
      <c r="W125" s="17" t="str">
        <f>IF(OR(TEXT(W$13,"ddd")="Sun",W$13="",$D125=""),"",IF('Leave Planner'!U126="",1,0))</f>
        <v/>
      </c>
      <c r="X125" s="17" t="str">
        <f>IF(OR(TEXT(X$13,"ddd")="Sun",X$13="",$D125=""),"",IF('Leave Planner'!V126="",1,0))</f>
        <v/>
      </c>
      <c r="Y125" s="17" t="str">
        <f>IF(OR(TEXT(Y$13,"ddd")="Sun",Y$13="",$D125=""),"",IF('Leave Planner'!W126="",1,0))</f>
        <v/>
      </c>
      <c r="Z125" s="17" t="str">
        <f>IF(OR(TEXT(Z$13,"ddd")="Sun",Z$13="",$D125=""),"",IF('Leave Planner'!X126="",1,0))</f>
        <v/>
      </c>
      <c r="AA125" s="17" t="str">
        <f>IF(OR(TEXT(AA$13,"ddd")="Sun",AA$13="",$D125=""),"",IF('Leave Planner'!Y126="",1,0))</f>
        <v/>
      </c>
      <c r="AB125" s="17" t="str">
        <f>IF(OR(TEXT(AB$13,"ddd")="Sun",AB$13="",$D125=""),"",IF('Leave Planner'!Z126="",1,0))</f>
        <v/>
      </c>
      <c r="AC125" s="17" t="str">
        <f>IF(OR(TEXT(AC$13,"ddd")="Sun",AC$13="",$D125=""),"",IF('Leave Planner'!AA126="",1,0))</f>
        <v/>
      </c>
      <c r="AD125" s="17" t="str">
        <f>IF(OR(TEXT(AD$13,"ddd")="Sun",AD$13="",$D125=""),"",IF('Leave Planner'!AB126="",1,0))</f>
        <v/>
      </c>
      <c r="AE125" s="17" t="str">
        <f>IF(OR(TEXT(AE$13,"ddd")="Sun",AE$13="",$D125=""),"",IF('Leave Planner'!AC126="",1,0))</f>
        <v/>
      </c>
      <c r="AF125" s="17" t="str">
        <f>IF(OR(TEXT(AF$13,"ddd")="Sun",AF$13="",$D125=""),"",IF('Leave Planner'!AD126="",1,0))</f>
        <v/>
      </c>
      <c r="AG125" s="17" t="str">
        <f>IF(OR(TEXT(AG$13,"ddd")="Sun",AG$13="",$D125=""),"",IF('Leave Planner'!AE126="",1,0))</f>
        <v/>
      </c>
      <c r="AH125" s="17" t="str">
        <f>IF(OR(TEXT(AH$13,"ddd")="Sun",AH$13="",$D125=""),"",IF('Leave Planner'!AF126="",1,0))</f>
        <v/>
      </c>
      <c r="AI125" s="17" t="str">
        <f>IF(OR(TEXT(AI$13,"ddd")="Sun",AI$13="",$D125=""),"",IF('Leave Planner'!AG126="",1,0))</f>
        <v/>
      </c>
      <c r="AJ125" s="17" t="str">
        <f>IF(OR(TEXT(AJ$13,"ddd")="Sun",AJ$13="",$D125=""),"",IF('Leave Planner'!AH126="",1,0))</f>
        <v/>
      </c>
    </row>
    <row r="126" spans="2:36" x14ac:dyDescent="0.75">
      <c r="B126" s="15"/>
      <c r="C126" s="22"/>
      <c r="D126" s="22"/>
      <c r="E126" s="42" t="str">
        <f t="shared" si="6"/>
        <v/>
      </c>
      <c r="F126" s="17" t="str">
        <f>IF(OR(TEXT(F$13,"ddd")="Sun",F$13="",$D126=""),"",IF('Leave Planner'!D127="",1,0))</f>
        <v/>
      </c>
      <c r="G126" s="17" t="str">
        <f>IF(OR(TEXT(G$13,"ddd")="Sun",G$13="",$D126=""),"",IF('Leave Planner'!E127="",1,0))</f>
        <v/>
      </c>
      <c r="H126" s="17" t="str">
        <f>IF(OR(TEXT(H$13,"ddd")="Sun",H$13="",$D126=""),"",IF('Leave Planner'!F127="",1,0))</f>
        <v/>
      </c>
      <c r="I126" s="17" t="str">
        <f>IF(OR(TEXT(I$13,"ddd")="Sun",I$13="",$D126=""),"",IF('Leave Planner'!G127="",1,0))</f>
        <v/>
      </c>
      <c r="J126" s="17" t="str">
        <f>IF(OR(TEXT(J$13,"ddd")="Sun",J$13="",$D126=""),"",IF('Leave Planner'!H127="",1,0))</f>
        <v/>
      </c>
      <c r="K126" s="17" t="str">
        <f>IF(OR(TEXT(K$13,"ddd")="Sun",K$13="",$D126=""),"",IF('Leave Planner'!I127="",1,0))</f>
        <v/>
      </c>
      <c r="L126" s="17" t="str">
        <f>IF(OR(TEXT(L$13,"ddd")="Sun",L$13="",$D126=""),"",IF('Leave Planner'!J127="",1,0))</f>
        <v/>
      </c>
      <c r="M126" s="17" t="str">
        <f>IF(OR(TEXT(M$13,"ddd")="Sun",M$13="",$D126=""),"",IF('Leave Planner'!K127="",1,0))</f>
        <v/>
      </c>
      <c r="N126" s="17" t="str">
        <f>IF(OR(TEXT(N$13,"ddd")="Sun",N$13="",$D126=""),"",IF('Leave Planner'!L127="",1,0))</f>
        <v/>
      </c>
      <c r="O126" s="17" t="str">
        <f>IF(OR(TEXT(O$13,"ddd")="Sun",O$13="",$D126=""),"",IF('Leave Planner'!M127="",1,0))</f>
        <v/>
      </c>
      <c r="P126" s="17" t="str">
        <f>IF(OR(TEXT(P$13,"ddd")="Sun",P$13="",$D126=""),"",IF('Leave Planner'!N127="",1,0))</f>
        <v/>
      </c>
      <c r="Q126" s="17" t="str">
        <f>IF(OR(TEXT(Q$13,"ddd")="Sun",Q$13="",$D126=""),"",IF('Leave Planner'!O127="",1,0))</f>
        <v/>
      </c>
      <c r="R126" s="17" t="str">
        <f>IF(OR(TEXT(R$13,"ddd")="Sun",R$13="",$D126=""),"",IF('Leave Planner'!P127="",1,0))</f>
        <v/>
      </c>
      <c r="S126" s="17" t="str">
        <f>IF(OR(TEXT(S$13,"ddd")="Sun",S$13="",$D126=""),"",IF('Leave Planner'!Q127="",1,0))</f>
        <v/>
      </c>
      <c r="T126" s="17" t="str">
        <f>IF(OR(TEXT(T$13,"ddd")="Sun",T$13="",$D126=""),"",IF('Leave Planner'!R127="",1,0))</f>
        <v/>
      </c>
      <c r="U126" s="17" t="str">
        <f>IF(OR(TEXT(U$13,"ddd")="Sun",U$13="",$D126=""),"",IF('Leave Planner'!S127="",1,0))</f>
        <v/>
      </c>
      <c r="V126" s="17" t="str">
        <f>IF(OR(TEXT(V$13,"ddd")="Sun",V$13="",$D126=""),"",IF('Leave Planner'!T127="",1,0))</f>
        <v/>
      </c>
      <c r="W126" s="17" t="str">
        <f>IF(OR(TEXT(W$13,"ddd")="Sun",W$13="",$D126=""),"",IF('Leave Planner'!U127="",1,0))</f>
        <v/>
      </c>
      <c r="X126" s="17" t="str">
        <f>IF(OR(TEXT(X$13,"ddd")="Sun",X$13="",$D126=""),"",IF('Leave Planner'!V127="",1,0))</f>
        <v/>
      </c>
      <c r="Y126" s="17" t="str">
        <f>IF(OR(TEXT(Y$13,"ddd")="Sun",Y$13="",$D126=""),"",IF('Leave Planner'!W127="",1,0))</f>
        <v/>
      </c>
      <c r="Z126" s="17" t="str">
        <f>IF(OR(TEXT(Z$13,"ddd")="Sun",Z$13="",$D126=""),"",IF('Leave Planner'!X127="",1,0))</f>
        <v/>
      </c>
      <c r="AA126" s="17" t="str">
        <f>IF(OR(TEXT(AA$13,"ddd")="Sun",AA$13="",$D126=""),"",IF('Leave Planner'!Y127="",1,0))</f>
        <v/>
      </c>
      <c r="AB126" s="17" t="str">
        <f>IF(OR(TEXT(AB$13,"ddd")="Sun",AB$13="",$D126=""),"",IF('Leave Planner'!Z127="",1,0))</f>
        <v/>
      </c>
      <c r="AC126" s="17" t="str">
        <f>IF(OR(TEXT(AC$13,"ddd")="Sun",AC$13="",$D126=""),"",IF('Leave Planner'!AA127="",1,0))</f>
        <v/>
      </c>
      <c r="AD126" s="17" t="str">
        <f>IF(OR(TEXT(AD$13,"ddd")="Sun",AD$13="",$D126=""),"",IF('Leave Planner'!AB127="",1,0))</f>
        <v/>
      </c>
      <c r="AE126" s="17" t="str">
        <f>IF(OR(TEXT(AE$13,"ddd")="Sun",AE$13="",$D126=""),"",IF('Leave Planner'!AC127="",1,0))</f>
        <v/>
      </c>
      <c r="AF126" s="17" t="str">
        <f>IF(OR(TEXT(AF$13,"ddd")="Sun",AF$13="",$D126=""),"",IF('Leave Planner'!AD127="",1,0))</f>
        <v/>
      </c>
      <c r="AG126" s="17" t="str">
        <f>IF(OR(TEXT(AG$13,"ddd")="Sun",AG$13="",$D126=""),"",IF('Leave Planner'!AE127="",1,0))</f>
        <v/>
      </c>
      <c r="AH126" s="17" t="str">
        <f>IF(OR(TEXT(AH$13,"ddd")="Sun",AH$13="",$D126=""),"",IF('Leave Planner'!AF127="",1,0))</f>
        <v/>
      </c>
      <c r="AI126" s="17" t="str">
        <f>IF(OR(TEXT(AI$13,"ddd")="Sun",AI$13="",$D126=""),"",IF('Leave Planner'!AG127="",1,0))</f>
        <v/>
      </c>
      <c r="AJ126" s="17" t="str">
        <f>IF(OR(TEXT(AJ$13,"ddd")="Sun",AJ$13="",$D126=""),"",IF('Leave Planner'!AH127="",1,0))</f>
        <v/>
      </c>
    </row>
    <row r="127" spans="2:36" x14ac:dyDescent="0.75">
      <c r="B127" s="15"/>
      <c r="C127" s="22"/>
      <c r="D127" s="22"/>
      <c r="E127" s="42" t="str">
        <f t="shared" si="6"/>
        <v/>
      </c>
      <c r="F127" s="17" t="str">
        <f>IF(OR(TEXT(F$13,"ddd")="Sun",F$13="",$D127=""),"",IF('Leave Planner'!D128="",1,0))</f>
        <v/>
      </c>
      <c r="G127" s="17" t="str">
        <f>IF(OR(TEXT(G$13,"ddd")="Sun",G$13="",$D127=""),"",IF('Leave Planner'!E128="",1,0))</f>
        <v/>
      </c>
      <c r="H127" s="17" t="str">
        <f>IF(OR(TEXT(H$13,"ddd")="Sun",H$13="",$D127=""),"",IF('Leave Planner'!F128="",1,0))</f>
        <v/>
      </c>
      <c r="I127" s="17" t="str">
        <f>IF(OR(TEXT(I$13,"ddd")="Sun",I$13="",$D127=""),"",IF('Leave Planner'!G128="",1,0))</f>
        <v/>
      </c>
      <c r="J127" s="17" t="str">
        <f>IF(OR(TEXT(J$13,"ddd")="Sun",J$13="",$D127=""),"",IF('Leave Planner'!H128="",1,0))</f>
        <v/>
      </c>
      <c r="K127" s="17" t="str">
        <f>IF(OR(TEXT(K$13,"ddd")="Sun",K$13="",$D127=""),"",IF('Leave Planner'!I128="",1,0))</f>
        <v/>
      </c>
      <c r="L127" s="17" t="str">
        <f>IF(OR(TEXT(L$13,"ddd")="Sun",L$13="",$D127=""),"",IF('Leave Planner'!J128="",1,0))</f>
        <v/>
      </c>
      <c r="M127" s="17" t="str">
        <f>IF(OR(TEXT(M$13,"ddd")="Sun",M$13="",$D127=""),"",IF('Leave Planner'!K128="",1,0))</f>
        <v/>
      </c>
      <c r="N127" s="17" t="str">
        <f>IF(OR(TEXT(N$13,"ddd")="Sun",N$13="",$D127=""),"",IF('Leave Planner'!L128="",1,0))</f>
        <v/>
      </c>
      <c r="O127" s="17" t="str">
        <f>IF(OR(TEXT(O$13,"ddd")="Sun",O$13="",$D127=""),"",IF('Leave Planner'!M128="",1,0))</f>
        <v/>
      </c>
      <c r="P127" s="17" t="str">
        <f>IF(OR(TEXT(P$13,"ddd")="Sun",P$13="",$D127=""),"",IF('Leave Planner'!N128="",1,0))</f>
        <v/>
      </c>
      <c r="Q127" s="17" t="str">
        <f>IF(OR(TEXT(Q$13,"ddd")="Sun",Q$13="",$D127=""),"",IF('Leave Planner'!O128="",1,0))</f>
        <v/>
      </c>
      <c r="R127" s="17" t="str">
        <f>IF(OR(TEXT(R$13,"ddd")="Sun",R$13="",$D127=""),"",IF('Leave Planner'!P128="",1,0))</f>
        <v/>
      </c>
      <c r="S127" s="17" t="str">
        <f>IF(OR(TEXT(S$13,"ddd")="Sun",S$13="",$D127=""),"",IF('Leave Planner'!Q128="",1,0))</f>
        <v/>
      </c>
      <c r="T127" s="17" t="str">
        <f>IF(OR(TEXT(T$13,"ddd")="Sun",T$13="",$D127=""),"",IF('Leave Planner'!R128="",1,0))</f>
        <v/>
      </c>
      <c r="U127" s="17" t="str">
        <f>IF(OR(TEXT(U$13,"ddd")="Sun",U$13="",$D127=""),"",IF('Leave Planner'!S128="",1,0))</f>
        <v/>
      </c>
      <c r="V127" s="17" t="str">
        <f>IF(OR(TEXT(V$13,"ddd")="Sun",V$13="",$D127=""),"",IF('Leave Planner'!T128="",1,0))</f>
        <v/>
      </c>
      <c r="W127" s="17" t="str">
        <f>IF(OR(TEXT(W$13,"ddd")="Sun",W$13="",$D127=""),"",IF('Leave Planner'!U128="",1,0))</f>
        <v/>
      </c>
      <c r="X127" s="17" t="str">
        <f>IF(OR(TEXT(X$13,"ddd")="Sun",X$13="",$D127=""),"",IF('Leave Planner'!V128="",1,0))</f>
        <v/>
      </c>
      <c r="Y127" s="17" t="str">
        <f>IF(OR(TEXT(Y$13,"ddd")="Sun",Y$13="",$D127=""),"",IF('Leave Planner'!W128="",1,0))</f>
        <v/>
      </c>
      <c r="Z127" s="17" t="str">
        <f>IF(OR(TEXT(Z$13,"ddd")="Sun",Z$13="",$D127=""),"",IF('Leave Planner'!X128="",1,0))</f>
        <v/>
      </c>
      <c r="AA127" s="17" t="str">
        <f>IF(OR(TEXT(AA$13,"ddd")="Sun",AA$13="",$D127=""),"",IF('Leave Planner'!Y128="",1,0))</f>
        <v/>
      </c>
      <c r="AB127" s="17" t="str">
        <f>IF(OR(TEXT(AB$13,"ddd")="Sun",AB$13="",$D127=""),"",IF('Leave Planner'!Z128="",1,0))</f>
        <v/>
      </c>
      <c r="AC127" s="17" t="str">
        <f>IF(OR(TEXT(AC$13,"ddd")="Sun",AC$13="",$D127=""),"",IF('Leave Planner'!AA128="",1,0))</f>
        <v/>
      </c>
      <c r="AD127" s="17" t="str">
        <f>IF(OR(TEXT(AD$13,"ddd")="Sun",AD$13="",$D127=""),"",IF('Leave Planner'!AB128="",1,0))</f>
        <v/>
      </c>
      <c r="AE127" s="17" t="str">
        <f>IF(OR(TEXT(AE$13,"ddd")="Sun",AE$13="",$D127=""),"",IF('Leave Planner'!AC128="",1,0))</f>
        <v/>
      </c>
      <c r="AF127" s="17" t="str">
        <f>IF(OR(TEXT(AF$13,"ddd")="Sun",AF$13="",$D127=""),"",IF('Leave Planner'!AD128="",1,0))</f>
        <v/>
      </c>
      <c r="AG127" s="17" t="str">
        <f>IF(OR(TEXT(AG$13,"ddd")="Sun",AG$13="",$D127=""),"",IF('Leave Planner'!AE128="",1,0))</f>
        <v/>
      </c>
      <c r="AH127" s="17" t="str">
        <f>IF(OR(TEXT(AH$13,"ddd")="Sun",AH$13="",$D127=""),"",IF('Leave Planner'!AF128="",1,0))</f>
        <v/>
      </c>
      <c r="AI127" s="17" t="str">
        <f>IF(OR(TEXT(AI$13,"ddd")="Sun",AI$13="",$D127=""),"",IF('Leave Planner'!AG128="",1,0))</f>
        <v/>
      </c>
      <c r="AJ127" s="17" t="str">
        <f>IF(OR(TEXT(AJ$13,"ddd")="Sun",AJ$13="",$D127=""),"",IF('Leave Planner'!AH128="",1,0))</f>
        <v/>
      </c>
    </row>
    <row r="128" spans="2:36" x14ac:dyDescent="0.75">
      <c r="B128" s="15"/>
      <c r="C128" s="22"/>
      <c r="D128" s="22"/>
      <c r="E128" s="42" t="str">
        <f t="shared" si="6"/>
        <v/>
      </c>
      <c r="F128" s="17" t="str">
        <f>IF(OR(TEXT(F$13,"ddd")="Sun",F$13="",$D128=""),"",IF('Leave Planner'!D129="",1,0))</f>
        <v/>
      </c>
      <c r="G128" s="17" t="str">
        <f>IF(OR(TEXT(G$13,"ddd")="Sun",G$13="",$D128=""),"",IF('Leave Planner'!E129="",1,0))</f>
        <v/>
      </c>
      <c r="H128" s="17" t="str">
        <f>IF(OR(TEXT(H$13,"ddd")="Sun",H$13="",$D128=""),"",IF('Leave Planner'!F129="",1,0))</f>
        <v/>
      </c>
      <c r="I128" s="17" t="str">
        <f>IF(OR(TEXT(I$13,"ddd")="Sun",I$13="",$D128=""),"",IF('Leave Planner'!G129="",1,0))</f>
        <v/>
      </c>
      <c r="J128" s="17" t="str">
        <f>IF(OR(TEXT(J$13,"ddd")="Sun",J$13="",$D128=""),"",IF('Leave Planner'!H129="",1,0))</f>
        <v/>
      </c>
      <c r="K128" s="17" t="str">
        <f>IF(OR(TEXT(K$13,"ddd")="Sun",K$13="",$D128=""),"",IF('Leave Planner'!I129="",1,0))</f>
        <v/>
      </c>
      <c r="L128" s="17" t="str">
        <f>IF(OR(TEXT(L$13,"ddd")="Sun",L$13="",$D128=""),"",IF('Leave Planner'!J129="",1,0))</f>
        <v/>
      </c>
      <c r="M128" s="17" t="str">
        <f>IF(OR(TEXT(M$13,"ddd")="Sun",M$13="",$D128=""),"",IF('Leave Planner'!K129="",1,0))</f>
        <v/>
      </c>
      <c r="N128" s="17" t="str">
        <f>IF(OR(TEXT(N$13,"ddd")="Sun",N$13="",$D128=""),"",IF('Leave Planner'!L129="",1,0))</f>
        <v/>
      </c>
      <c r="O128" s="17" t="str">
        <f>IF(OR(TEXT(O$13,"ddd")="Sun",O$13="",$D128=""),"",IF('Leave Planner'!M129="",1,0))</f>
        <v/>
      </c>
      <c r="P128" s="17" t="str">
        <f>IF(OR(TEXT(P$13,"ddd")="Sun",P$13="",$D128=""),"",IF('Leave Planner'!N129="",1,0))</f>
        <v/>
      </c>
      <c r="Q128" s="17" t="str">
        <f>IF(OR(TEXT(Q$13,"ddd")="Sun",Q$13="",$D128=""),"",IF('Leave Planner'!O129="",1,0))</f>
        <v/>
      </c>
      <c r="R128" s="17" t="str">
        <f>IF(OR(TEXT(R$13,"ddd")="Sun",R$13="",$D128=""),"",IF('Leave Planner'!P129="",1,0))</f>
        <v/>
      </c>
      <c r="S128" s="17" t="str">
        <f>IF(OR(TEXT(S$13,"ddd")="Sun",S$13="",$D128=""),"",IF('Leave Planner'!Q129="",1,0))</f>
        <v/>
      </c>
      <c r="T128" s="17" t="str">
        <f>IF(OR(TEXT(T$13,"ddd")="Sun",T$13="",$D128=""),"",IF('Leave Planner'!R129="",1,0))</f>
        <v/>
      </c>
      <c r="U128" s="17" t="str">
        <f>IF(OR(TEXT(U$13,"ddd")="Sun",U$13="",$D128=""),"",IF('Leave Planner'!S129="",1,0))</f>
        <v/>
      </c>
      <c r="V128" s="17" t="str">
        <f>IF(OR(TEXT(V$13,"ddd")="Sun",V$13="",$D128=""),"",IF('Leave Planner'!T129="",1,0))</f>
        <v/>
      </c>
      <c r="W128" s="17" t="str">
        <f>IF(OR(TEXT(W$13,"ddd")="Sun",W$13="",$D128=""),"",IF('Leave Planner'!U129="",1,0))</f>
        <v/>
      </c>
      <c r="X128" s="17" t="str">
        <f>IF(OR(TEXT(X$13,"ddd")="Sun",X$13="",$D128=""),"",IF('Leave Planner'!V129="",1,0))</f>
        <v/>
      </c>
      <c r="Y128" s="17" t="str">
        <f>IF(OR(TEXT(Y$13,"ddd")="Sun",Y$13="",$D128=""),"",IF('Leave Planner'!W129="",1,0))</f>
        <v/>
      </c>
      <c r="Z128" s="17" t="str">
        <f>IF(OR(TEXT(Z$13,"ddd")="Sun",Z$13="",$D128=""),"",IF('Leave Planner'!X129="",1,0))</f>
        <v/>
      </c>
      <c r="AA128" s="17" t="str">
        <f>IF(OR(TEXT(AA$13,"ddd")="Sun",AA$13="",$D128=""),"",IF('Leave Planner'!Y129="",1,0))</f>
        <v/>
      </c>
      <c r="AB128" s="17" t="str">
        <f>IF(OR(TEXT(AB$13,"ddd")="Sun",AB$13="",$D128=""),"",IF('Leave Planner'!Z129="",1,0))</f>
        <v/>
      </c>
      <c r="AC128" s="17" t="str">
        <f>IF(OR(TEXT(AC$13,"ddd")="Sun",AC$13="",$D128=""),"",IF('Leave Planner'!AA129="",1,0))</f>
        <v/>
      </c>
      <c r="AD128" s="17" t="str">
        <f>IF(OR(TEXT(AD$13,"ddd")="Sun",AD$13="",$D128=""),"",IF('Leave Planner'!AB129="",1,0))</f>
        <v/>
      </c>
      <c r="AE128" s="17" t="str">
        <f>IF(OR(TEXT(AE$13,"ddd")="Sun",AE$13="",$D128=""),"",IF('Leave Planner'!AC129="",1,0))</f>
        <v/>
      </c>
      <c r="AF128" s="17" t="str">
        <f>IF(OR(TEXT(AF$13,"ddd")="Sun",AF$13="",$D128=""),"",IF('Leave Planner'!AD129="",1,0))</f>
        <v/>
      </c>
      <c r="AG128" s="17" t="str">
        <f>IF(OR(TEXT(AG$13,"ddd")="Sun",AG$13="",$D128=""),"",IF('Leave Planner'!AE129="",1,0))</f>
        <v/>
      </c>
      <c r="AH128" s="17" t="str">
        <f>IF(OR(TEXT(AH$13,"ddd")="Sun",AH$13="",$D128=""),"",IF('Leave Planner'!AF129="",1,0))</f>
        <v/>
      </c>
      <c r="AI128" s="17" t="str">
        <f>IF(OR(TEXT(AI$13,"ddd")="Sun",AI$13="",$D128=""),"",IF('Leave Planner'!AG129="",1,0))</f>
        <v/>
      </c>
      <c r="AJ128" s="17" t="str">
        <f>IF(OR(TEXT(AJ$13,"ddd")="Sun",AJ$13="",$D128=""),"",IF('Leave Planner'!AH129="",1,0))</f>
        <v/>
      </c>
    </row>
    <row r="129" spans="2:36" x14ac:dyDescent="0.75">
      <c r="B129" s="15"/>
      <c r="C129" s="22"/>
      <c r="D129" s="22"/>
      <c r="E129" s="42" t="str">
        <f t="shared" si="6"/>
        <v/>
      </c>
      <c r="F129" s="17" t="str">
        <f>IF(OR(TEXT(F$13,"ddd")="Sun",F$13="",$D129=""),"",IF('Leave Planner'!D130="",1,0))</f>
        <v/>
      </c>
      <c r="G129" s="17" t="str">
        <f>IF(OR(TEXT(G$13,"ddd")="Sun",G$13="",$D129=""),"",IF('Leave Planner'!E130="",1,0))</f>
        <v/>
      </c>
      <c r="H129" s="17" t="str">
        <f>IF(OR(TEXT(H$13,"ddd")="Sun",H$13="",$D129=""),"",IF('Leave Planner'!F130="",1,0))</f>
        <v/>
      </c>
      <c r="I129" s="17" t="str">
        <f>IF(OR(TEXT(I$13,"ddd")="Sun",I$13="",$D129=""),"",IF('Leave Planner'!G130="",1,0))</f>
        <v/>
      </c>
      <c r="J129" s="17" t="str">
        <f>IF(OR(TEXT(J$13,"ddd")="Sun",J$13="",$D129=""),"",IF('Leave Planner'!H130="",1,0))</f>
        <v/>
      </c>
      <c r="K129" s="17" t="str">
        <f>IF(OR(TEXT(K$13,"ddd")="Sun",K$13="",$D129=""),"",IF('Leave Planner'!I130="",1,0))</f>
        <v/>
      </c>
      <c r="L129" s="17" t="str">
        <f>IF(OR(TEXT(L$13,"ddd")="Sun",L$13="",$D129=""),"",IF('Leave Planner'!J130="",1,0))</f>
        <v/>
      </c>
      <c r="M129" s="17" t="str">
        <f>IF(OR(TEXT(M$13,"ddd")="Sun",M$13="",$D129=""),"",IF('Leave Planner'!K130="",1,0))</f>
        <v/>
      </c>
      <c r="N129" s="17" t="str">
        <f>IF(OR(TEXT(N$13,"ddd")="Sun",N$13="",$D129=""),"",IF('Leave Planner'!L130="",1,0))</f>
        <v/>
      </c>
      <c r="O129" s="17" t="str">
        <f>IF(OR(TEXT(O$13,"ddd")="Sun",O$13="",$D129=""),"",IF('Leave Planner'!M130="",1,0))</f>
        <v/>
      </c>
      <c r="P129" s="17" t="str">
        <f>IF(OR(TEXT(P$13,"ddd")="Sun",P$13="",$D129=""),"",IF('Leave Planner'!N130="",1,0))</f>
        <v/>
      </c>
      <c r="Q129" s="17" t="str">
        <f>IF(OR(TEXT(Q$13,"ddd")="Sun",Q$13="",$D129=""),"",IF('Leave Planner'!O130="",1,0))</f>
        <v/>
      </c>
      <c r="R129" s="17" t="str">
        <f>IF(OR(TEXT(R$13,"ddd")="Sun",R$13="",$D129=""),"",IF('Leave Planner'!P130="",1,0))</f>
        <v/>
      </c>
      <c r="S129" s="17" t="str">
        <f>IF(OR(TEXT(S$13,"ddd")="Sun",S$13="",$D129=""),"",IF('Leave Planner'!Q130="",1,0))</f>
        <v/>
      </c>
      <c r="T129" s="17" t="str">
        <f>IF(OR(TEXT(T$13,"ddd")="Sun",T$13="",$D129=""),"",IF('Leave Planner'!R130="",1,0))</f>
        <v/>
      </c>
      <c r="U129" s="17" t="str">
        <f>IF(OR(TEXT(U$13,"ddd")="Sun",U$13="",$D129=""),"",IF('Leave Planner'!S130="",1,0))</f>
        <v/>
      </c>
      <c r="V129" s="17" t="str">
        <f>IF(OR(TEXT(V$13,"ddd")="Sun",V$13="",$D129=""),"",IF('Leave Planner'!T130="",1,0))</f>
        <v/>
      </c>
      <c r="W129" s="17" t="str">
        <f>IF(OR(TEXT(W$13,"ddd")="Sun",W$13="",$D129=""),"",IF('Leave Planner'!U130="",1,0))</f>
        <v/>
      </c>
      <c r="X129" s="17" t="str">
        <f>IF(OR(TEXT(X$13,"ddd")="Sun",X$13="",$D129=""),"",IF('Leave Planner'!V130="",1,0))</f>
        <v/>
      </c>
      <c r="Y129" s="17" t="str">
        <f>IF(OR(TEXT(Y$13,"ddd")="Sun",Y$13="",$D129=""),"",IF('Leave Planner'!W130="",1,0))</f>
        <v/>
      </c>
      <c r="Z129" s="17" t="str">
        <f>IF(OR(TEXT(Z$13,"ddd")="Sun",Z$13="",$D129=""),"",IF('Leave Planner'!X130="",1,0))</f>
        <v/>
      </c>
      <c r="AA129" s="17" t="str">
        <f>IF(OR(TEXT(AA$13,"ddd")="Sun",AA$13="",$D129=""),"",IF('Leave Planner'!Y130="",1,0))</f>
        <v/>
      </c>
      <c r="AB129" s="17" t="str">
        <f>IF(OR(TEXT(AB$13,"ddd")="Sun",AB$13="",$D129=""),"",IF('Leave Planner'!Z130="",1,0))</f>
        <v/>
      </c>
      <c r="AC129" s="17" t="str">
        <f>IF(OR(TEXT(AC$13,"ddd")="Sun",AC$13="",$D129=""),"",IF('Leave Planner'!AA130="",1,0))</f>
        <v/>
      </c>
      <c r="AD129" s="17" t="str">
        <f>IF(OR(TEXT(AD$13,"ddd")="Sun",AD$13="",$D129=""),"",IF('Leave Planner'!AB130="",1,0))</f>
        <v/>
      </c>
      <c r="AE129" s="17" t="str">
        <f>IF(OR(TEXT(AE$13,"ddd")="Sun",AE$13="",$D129=""),"",IF('Leave Planner'!AC130="",1,0))</f>
        <v/>
      </c>
      <c r="AF129" s="17" t="str">
        <f>IF(OR(TEXT(AF$13,"ddd")="Sun",AF$13="",$D129=""),"",IF('Leave Planner'!AD130="",1,0))</f>
        <v/>
      </c>
      <c r="AG129" s="17" t="str">
        <f>IF(OR(TEXT(AG$13,"ddd")="Sun",AG$13="",$D129=""),"",IF('Leave Planner'!AE130="",1,0))</f>
        <v/>
      </c>
      <c r="AH129" s="17" t="str">
        <f>IF(OR(TEXT(AH$13,"ddd")="Sun",AH$13="",$D129=""),"",IF('Leave Planner'!AF130="",1,0))</f>
        <v/>
      </c>
      <c r="AI129" s="17" t="str">
        <f>IF(OR(TEXT(AI$13,"ddd")="Sun",AI$13="",$D129=""),"",IF('Leave Planner'!AG130="",1,0))</f>
        <v/>
      </c>
      <c r="AJ129" s="17" t="str">
        <f>IF(OR(TEXT(AJ$13,"ddd")="Sun",AJ$13="",$D129=""),"",IF('Leave Planner'!AH130="",1,0))</f>
        <v/>
      </c>
    </row>
    <row r="130" spans="2:36" x14ac:dyDescent="0.75">
      <c r="B130" s="15"/>
      <c r="C130" s="22"/>
      <c r="D130" s="22"/>
      <c r="E130" s="42" t="str">
        <f t="shared" si="6"/>
        <v/>
      </c>
      <c r="F130" s="17" t="str">
        <f>IF(OR(TEXT(F$13,"ddd")="Sun",F$13="",$D130=""),"",IF('Leave Planner'!D131="",1,0))</f>
        <v/>
      </c>
      <c r="G130" s="17" t="str">
        <f>IF(OR(TEXT(G$13,"ddd")="Sun",G$13="",$D130=""),"",IF('Leave Planner'!E131="",1,0))</f>
        <v/>
      </c>
      <c r="H130" s="17" t="str">
        <f>IF(OR(TEXT(H$13,"ddd")="Sun",H$13="",$D130=""),"",IF('Leave Planner'!F131="",1,0))</f>
        <v/>
      </c>
      <c r="I130" s="17" t="str">
        <f>IF(OR(TEXT(I$13,"ddd")="Sun",I$13="",$D130=""),"",IF('Leave Planner'!G131="",1,0))</f>
        <v/>
      </c>
      <c r="J130" s="17" t="str">
        <f>IF(OR(TEXT(J$13,"ddd")="Sun",J$13="",$D130=""),"",IF('Leave Planner'!H131="",1,0))</f>
        <v/>
      </c>
      <c r="K130" s="17" t="str">
        <f>IF(OR(TEXT(K$13,"ddd")="Sun",K$13="",$D130=""),"",IF('Leave Planner'!I131="",1,0))</f>
        <v/>
      </c>
      <c r="L130" s="17" t="str">
        <f>IF(OR(TEXT(L$13,"ddd")="Sun",L$13="",$D130=""),"",IF('Leave Planner'!J131="",1,0))</f>
        <v/>
      </c>
      <c r="M130" s="17" t="str">
        <f>IF(OR(TEXT(M$13,"ddd")="Sun",M$13="",$D130=""),"",IF('Leave Planner'!K131="",1,0))</f>
        <v/>
      </c>
      <c r="N130" s="17" t="str">
        <f>IF(OR(TEXT(N$13,"ddd")="Sun",N$13="",$D130=""),"",IF('Leave Planner'!L131="",1,0))</f>
        <v/>
      </c>
      <c r="O130" s="17" t="str">
        <f>IF(OR(TEXT(O$13,"ddd")="Sun",O$13="",$D130=""),"",IF('Leave Planner'!M131="",1,0))</f>
        <v/>
      </c>
      <c r="P130" s="17" t="str">
        <f>IF(OR(TEXT(P$13,"ddd")="Sun",P$13="",$D130=""),"",IF('Leave Planner'!N131="",1,0))</f>
        <v/>
      </c>
      <c r="Q130" s="17" t="str">
        <f>IF(OR(TEXT(Q$13,"ddd")="Sun",Q$13="",$D130=""),"",IF('Leave Planner'!O131="",1,0))</f>
        <v/>
      </c>
      <c r="R130" s="17" t="str">
        <f>IF(OR(TEXT(R$13,"ddd")="Sun",R$13="",$D130=""),"",IF('Leave Planner'!P131="",1,0))</f>
        <v/>
      </c>
      <c r="S130" s="17" t="str">
        <f>IF(OR(TEXT(S$13,"ddd")="Sun",S$13="",$D130=""),"",IF('Leave Planner'!Q131="",1,0))</f>
        <v/>
      </c>
      <c r="T130" s="17" t="str">
        <f>IF(OR(TEXT(T$13,"ddd")="Sun",T$13="",$D130=""),"",IF('Leave Planner'!R131="",1,0))</f>
        <v/>
      </c>
      <c r="U130" s="17" t="str">
        <f>IF(OR(TEXT(U$13,"ddd")="Sun",U$13="",$D130=""),"",IF('Leave Planner'!S131="",1,0))</f>
        <v/>
      </c>
      <c r="V130" s="17" t="str">
        <f>IF(OR(TEXT(V$13,"ddd")="Sun",V$13="",$D130=""),"",IF('Leave Planner'!T131="",1,0))</f>
        <v/>
      </c>
      <c r="W130" s="17" t="str">
        <f>IF(OR(TEXT(W$13,"ddd")="Sun",W$13="",$D130=""),"",IF('Leave Planner'!U131="",1,0))</f>
        <v/>
      </c>
      <c r="X130" s="17" t="str">
        <f>IF(OR(TEXT(X$13,"ddd")="Sun",X$13="",$D130=""),"",IF('Leave Planner'!V131="",1,0))</f>
        <v/>
      </c>
      <c r="Y130" s="17" t="str">
        <f>IF(OR(TEXT(Y$13,"ddd")="Sun",Y$13="",$D130=""),"",IF('Leave Planner'!W131="",1,0))</f>
        <v/>
      </c>
      <c r="Z130" s="17" t="str">
        <f>IF(OR(TEXT(Z$13,"ddd")="Sun",Z$13="",$D130=""),"",IF('Leave Planner'!X131="",1,0))</f>
        <v/>
      </c>
      <c r="AA130" s="17" t="str">
        <f>IF(OR(TEXT(AA$13,"ddd")="Sun",AA$13="",$D130=""),"",IF('Leave Planner'!Y131="",1,0))</f>
        <v/>
      </c>
      <c r="AB130" s="17" t="str">
        <f>IF(OR(TEXT(AB$13,"ddd")="Sun",AB$13="",$D130=""),"",IF('Leave Planner'!Z131="",1,0))</f>
        <v/>
      </c>
      <c r="AC130" s="17" t="str">
        <f>IF(OR(TEXT(AC$13,"ddd")="Sun",AC$13="",$D130=""),"",IF('Leave Planner'!AA131="",1,0))</f>
        <v/>
      </c>
      <c r="AD130" s="17" t="str">
        <f>IF(OR(TEXT(AD$13,"ddd")="Sun",AD$13="",$D130=""),"",IF('Leave Planner'!AB131="",1,0))</f>
        <v/>
      </c>
      <c r="AE130" s="17" t="str">
        <f>IF(OR(TEXT(AE$13,"ddd")="Sun",AE$13="",$D130=""),"",IF('Leave Planner'!AC131="",1,0))</f>
        <v/>
      </c>
      <c r="AF130" s="17" t="str">
        <f>IF(OR(TEXT(AF$13,"ddd")="Sun",AF$13="",$D130=""),"",IF('Leave Planner'!AD131="",1,0))</f>
        <v/>
      </c>
      <c r="AG130" s="17" t="str">
        <f>IF(OR(TEXT(AG$13,"ddd")="Sun",AG$13="",$D130=""),"",IF('Leave Planner'!AE131="",1,0))</f>
        <v/>
      </c>
      <c r="AH130" s="17" t="str">
        <f>IF(OR(TEXT(AH$13,"ddd")="Sun",AH$13="",$D130=""),"",IF('Leave Planner'!AF131="",1,0))</f>
        <v/>
      </c>
      <c r="AI130" s="17" t="str">
        <f>IF(OR(TEXT(AI$13,"ddd")="Sun",AI$13="",$D130=""),"",IF('Leave Planner'!AG131="",1,0))</f>
        <v/>
      </c>
      <c r="AJ130" s="17" t="str">
        <f>IF(OR(TEXT(AJ$13,"ddd")="Sun",AJ$13="",$D130=""),"",IF('Leave Planner'!AH131="",1,0))</f>
        <v/>
      </c>
    </row>
    <row r="131" spans="2:36" x14ac:dyDescent="0.75">
      <c r="B131" s="15"/>
      <c r="C131" s="22"/>
      <c r="D131" s="22"/>
      <c r="E131" s="42" t="str">
        <f t="shared" si="6"/>
        <v/>
      </c>
      <c r="F131" s="17" t="str">
        <f>IF(OR(TEXT(F$13,"ddd")="Sun",F$13="",$D131=""),"",IF('Leave Planner'!D132="",1,0))</f>
        <v/>
      </c>
      <c r="G131" s="17" t="str">
        <f>IF(OR(TEXT(G$13,"ddd")="Sun",G$13="",$D131=""),"",IF('Leave Planner'!E132="",1,0))</f>
        <v/>
      </c>
      <c r="H131" s="17" t="str">
        <f>IF(OR(TEXT(H$13,"ddd")="Sun",H$13="",$D131=""),"",IF('Leave Planner'!F132="",1,0))</f>
        <v/>
      </c>
      <c r="I131" s="17" t="str">
        <f>IF(OR(TEXT(I$13,"ddd")="Sun",I$13="",$D131=""),"",IF('Leave Planner'!G132="",1,0))</f>
        <v/>
      </c>
      <c r="J131" s="17" t="str">
        <f>IF(OR(TEXT(J$13,"ddd")="Sun",J$13="",$D131=""),"",IF('Leave Planner'!H132="",1,0))</f>
        <v/>
      </c>
      <c r="K131" s="17" t="str">
        <f>IF(OR(TEXT(K$13,"ddd")="Sun",K$13="",$D131=""),"",IF('Leave Planner'!I132="",1,0))</f>
        <v/>
      </c>
      <c r="L131" s="17" t="str">
        <f>IF(OR(TEXT(L$13,"ddd")="Sun",L$13="",$D131=""),"",IF('Leave Planner'!J132="",1,0))</f>
        <v/>
      </c>
      <c r="M131" s="17" t="str">
        <f>IF(OR(TEXT(M$13,"ddd")="Sun",M$13="",$D131=""),"",IF('Leave Planner'!K132="",1,0))</f>
        <v/>
      </c>
      <c r="N131" s="17" t="str">
        <f>IF(OR(TEXT(N$13,"ddd")="Sun",N$13="",$D131=""),"",IF('Leave Planner'!L132="",1,0))</f>
        <v/>
      </c>
      <c r="O131" s="17" t="str">
        <f>IF(OR(TEXT(O$13,"ddd")="Sun",O$13="",$D131=""),"",IF('Leave Planner'!M132="",1,0))</f>
        <v/>
      </c>
      <c r="P131" s="17" t="str">
        <f>IF(OR(TEXT(P$13,"ddd")="Sun",P$13="",$D131=""),"",IF('Leave Planner'!N132="",1,0))</f>
        <v/>
      </c>
      <c r="Q131" s="17" t="str">
        <f>IF(OR(TEXT(Q$13,"ddd")="Sun",Q$13="",$D131=""),"",IF('Leave Planner'!O132="",1,0))</f>
        <v/>
      </c>
      <c r="R131" s="17" t="str">
        <f>IF(OR(TEXT(R$13,"ddd")="Sun",R$13="",$D131=""),"",IF('Leave Planner'!P132="",1,0))</f>
        <v/>
      </c>
      <c r="S131" s="17" t="str">
        <f>IF(OR(TEXT(S$13,"ddd")="Sun",S$13="",$D131=""),"",IF('Leave Planner'!Q132="",1,0))</f>
        <v/>
      </c>
      <c r="T131" s="17" t="str">
        <f>IF(OR(TEXT(T$13,"ddd")="Sun",T$13="",$D131=""),"",IF('Leave Planner'!R132="",1,0))</f>
        <v/>
      </c>
      <c r="U131" s="17" t="str">
        <f>IF(OR(TEXT(U$13,"ddd")="Sun",U$13="",$D131=""),"",IF('Leave Planner'!S132="",1,0))</f>
        <v/>
      </c>
      <c r="V131" s="17" t="str">
        <f>IF(OR(TEXT(V$13,"ddd")="Sun",V$13="",$D131=""),"",IF('Leave Planner'!T132="",1,0))</f>
        <v/>
      </c>
      <c r="W131" s="17" t="str">
        <f>IF(OR(TEXT(W$13,"ddd")="Sun",W$13="",$D131=""),"",IF('Leave Planner'!U132="",1,0))</f>
        <v/>
      </c>
      <c r="X131" s="17" t="str">
        <f>IF(OR(TEXT(X$13,"ddd")="Sun",X$13="",$D131=""),"",IF('Leave Planner'!V132="",1,0))</f>
        <v/>
      </c>
      <c r="Y131" s="17" t="str">
        <f>IF(OR(TEXT(Y$13,"ddd")="Sun",Y$13="",$D131=""),"",IF('Leave Planner'!W132="",1,0))</f>
        <v/>
      </c>
      <c r="Z131" s="17" t="str">
        <f>IF(OR(TEXT(Z$13,"ddd")="Sun",Z$13="",$D131=""),"",IF('Leave Planner'!X132="",1,0))</f>
        <v/>
      </c>
      <c r="AA131" s="17" t="str">
        <f>IF(OR(TEXT(AA$13,"ddd")="Sun",AA$13="",$D131=""),"",IF('Leave Planner'!Y132="",1,0))</f>
        <v/>
      </c>
      <c r="AB131" s="17" t="str">
        <f>IF(OR(TEXT(AB$13,"ddd")="Sun",AB$13="",$D131=""),"",IF('Leave Planner'!Z132="",1,0))</f>
        <v/>
      </c>
      <c r="AC131" s="17" t="str">
        <f>IF(OR(TEXT(AC$13,"ddd")="Sun",AC$13="",$D131=""),"",IF('Leave Planner'!AA132="",1,0))</f>
        <v/>
      </c>
      <c r="AD131" s="17" t="str">
        <f>IF(OR(TEXT(AD$13,"ddd")="Sun",AD$13="",$D131=""),"",IF('Leave Planner'!AB132="",1,0))</f>
        <v/>
      </c>
      <c r="AE131" s="17" t="str">
        <f>IF(OR(TEXT(AE$13,"ddd")="Sun",AE$13="",$D131=""),"",IF('Leave Planner'!AC132="",1,0))</f>
        <v/>
      </c>
      <c r="AF131" s="17" t="str">
        <f>IF(OR(TEXT(AF$13,"ddd")="Sun",AF$13="",$D131=""),"",IF('Leave Planner'!AD132="",1,0))</f>
        <v/>
      </c>
      <c r="AG131" s="17" t="str">
        <f>IF(OR(TEXT(AG$13,"ddd")="Sun",AG$13="",$D131=""),"",IF('Leave Planner'!AE132="",1,0))</f>
        <v/>
      </c>
      <c r="AH131" s="17" t="str">
        <f>IF(OR(TEXT(AH$13,"ddd")="Sun",AH$13="",$D131=""),"",IF('Leave Planner'!AF132="",1,0))</f>
        <v/>
      </c>
      <c r="AI131" s="17" t="str">
        <f>IF(OR(TEXT(AI$13,"ddd")="Sun",AI$13="",$D131=""),"",IF('Leave Planner'!AG132="",1,0))</f>
        <v/>
      </c>
      <c r="AJ131" s="17" t="str">
        <f>IF(OR(TEXT(AJ$13,"ddd")="Sun",AJ$13="",$D131=""),"",IF('Leave Planner'!AH132="",1,0))</f>
        <v/>
      </c>
    </row>
    <row r="132" spans="2:36" x14ac:dyDescent="0.75">
      <c r="B132" s="15"/>
      <c r="C132" s="22"/>
      <c r="D132" s="22"/>
      <c r="E132" s="42" t="str">
        <f t="shared" si="6"/>
        <v/>
      </c>
      <c r="F132" s="17" t="str">
        <f>IF(OR(TEXT(F$13,"ddd")="Sun",F$13="",$D132=""),"",IF('Leave Planner'!D133="",1,0))</f>
        <v/>
      </c>
      <c r="G132" s="17" t="str">
        <f>IF(OR(TEXT(G$13,"ddd")="Sun",G$13="",$D132=""),"",IF('Leave Planner'!E133="",1,0))</f>
        <v/>
      </c>
      <c r="H132" s="17" t="str">
        <f>IF(OR(TEXT(H$13,"ddd")="Sun",H$13="",$D132=""),"",IF('Leave Planner'!F133="",1,0))</f>
        <v/>
      </c>
      <c r="I132" s="17" t="str">
        <f>IF(OR(TEXT(I$13,"ddd")="Sun",I$13="",$D132=""),"",IF('Leave Planner'!G133="",1,0))</f>
        <v/>
      </c>
      <c r="J132" s="17" t="str">
        <f>IF(OR(TEXT(J$13,"ddd")="Sun",J$13="",$D132=""),"",IF('Leave Planner'!H133="",1,0))</f>
        <v/>
      </c>
      <c r="K132" s="17" t="str">
        <f>IF(OR(TEXT(K$13,"ddd")="Sun",K$13="",$D132=""),"",IF('Leave Planner'!I133="",1,0))</f>
        <v/>
      </c>
      <c r="L132" s="17" t="str">
        <f>IF(OR(TEXT(L$13,"ddd")="Sun",L$13="",$D132=""),"",IF('Leave Planner'!J133="",1,0))</f>
        <v/>
      </c>
      <c r="M132" s="17" t="str">
        <f>IF(OR(TEXT(M$13,"ddd")="Sun",M$13="",$D132=""),"",IF('Leave Planner'!K133="",1,0))</f>
        <v/>
      </c>
      <c r="N132" s="17" t="str">
        <f>IF(OR(TEXT(N$13,"ddd")="Sun",N$13="",$D132=""),"",IF('Leave Planner'!L133="",1,0))</f>
        <v/>
      </c>
      <c r="O132" s="17" t="str">
        <f>IF(OR(TEXT(O$13,"ddd")="Sun",O$13="",$D132=""),"",IF('Leave Planner'!M133="",1,0))</f>
        <v/>
      </c>
      <c r="P132" s="17" t="str">
        <f>IF(OR(TEXT(P$13,"ddd")="Sun",P$13="",$D132=""),"",IF('Leave Planner'!N133="",1,0))</f>
        <v/>
      </c>
      <c r="Q132" s="17" t="str">
        <f>IF(OR(TEXT(Q$13,"ddd")="Sun",Q$13="",$D132=""),"",IF('Leave Planner'!O133="",1,0))</f>
        <v/>
      </c>
      <c r="R132" s="17" t="str">
        <f>IF(OR(TEXT(R$13,"ddd")="Sun",R$13="",$D132=""),"",IF('Leave Planner'!P133="",1,0))</f>
        <v/>
      </c>
      <c r="S132" s="17" t="str">
        <f>IF(OR(TEXT(S$13,"ddd")="Sun",S$13="",$D132=""),"",IF('Leave Planner'!Q133="",1,0))</f>
        <v/>
      </c>
      <c r="T132" s="17" t="str">
        <f>IF(OR(TEXT(T$13,"ddd")="Sun",T$13="",$D132=""),"",IF('Leave Planner'!R133="",1,0))</f>
        <v/>
      </c>
      <c r="U132" s="17" t="str">
        <f>IF(OR(TEXT(U$13,"ddd")="Sun",U$13="",$D132=""),"",IF('Leave Planner'!S133="",1,0))</f>
        <v/>
      </c>
      <c r="V132" s="17" t="str">
        <f>IF(OR(TEXT(V$13,"ddd")="Sun",V$13="",$D132=""),"",IF('Leave Planner'!T133="",1,0))</f>
        <v/>
      </c>
      <c r="W132" s="17" t="str">
        <f>IF(OR(TEXT(W$13,"ddd")="Sun",W$13="",$D132=""),"",IF('Leave Planner'!U133="",1,0))</f>
        <v/>
      </c>
      <c r="X132" s="17" t="str">
        <f>IF(OR(TEXT(X$13,"ddd")="Sun",X$13="",$D132=""),"",IF('Leave Planner'!V133="",1,0))</f>
        <v/>
      </c>
      <c r="Y132" s="17" t="str">
        <f>IF(OR(TEXT(Y$13,"ddd")="Sun",Y$13="",$D132=""),"",IF('Leave Planner'!W133="",1,0))</f>
        <v/>
      </c>
      <c r="Z132" s="17" t="str">
        <f>IF(OR(TEXT(Z$13,"ddd")="Sun",Z$13="",$D132=""),"",IF('Leave Planner'!X133="",1,0))</f>
        <v/>
      </c>
      <c r="AA132" s="17" t="str">
        <f>IF(OR(TEXT(AA$13,"ddd")="Sun",AA$13="",$D132=""),"",IF('Leave Planner'!Y133="",1,0))</f>
        <v/>
      </c>
      <c r="AB132" s="17" t="str">
        <f>IF(OR(TEXT(AB$13,"ddd")="Sun",AB$13="",$D132=""),"",IF('Leave Planner'!Z133="",1,0))</f>
        <v/>
      </c>
      <c r="AC132" s="17" t="str">
        <f>IF(OR(TEXT(AC$13,"ddd")="Sun",AC$13="",$D132=""),"",IF('Leave Planner'!AA133="",1,0))</f>
        <v/>
      </c>
      <c r="AD132" s="17" t="str">
        <f>IF(OR(TEXT(AD$13,"ddd")="Sun",AD$13="",$D132=""),"",IF('Leave Planner'!AB133="",1,0))</f>
        <v/>
      </c>
      <c r="AE132" s="17" t="str">
        <f>IF(OR(TEXT(AE$13,"ddd")="Sun",AE$13="",$D132=""),"",IF('Leave Planner'!AC133="",1,0))</f>
        <v/>
      </c>
      <c r="AF132" s="17" t="str">
        <f>IF(OR(TEXT(AF$13,"ddd")="Sun",AF$13="",$D132=""),"",IF('Leave Planner'!AD133="",1,0))</f>
        <v/>
      </c>
      <c r="AG132" s="17" t="str">
        <f>IF(OR(TEXT(AG$13,"ddd")="Sun",AG$13="",$D132=""),"",IF('Leave Planner'!AE133="",1,0))</f>
        <v/>
      </c>
      <c r="AH132" s="17" t="str">
        <f>IF(OR(TEXT(AH$13,"ddd")="Sun",AH$13="",$D132=""),"",IF('Leave Planner'!AF133="",1,0))</f>
        <v/>
      </c>
      <c r="AI132" s="17" t="str">
        <f>IF(OR(TEXT(AI$13,"ddd")="Sun",AI$13="",$D132=""),"",IF('Leave Planner'!AG133="",1,0))</f>
        <v/>
      </c>
      <c r="AJ132" s="17" t="str">
        <f>IF(OR(TEXT(AJ$13,"ddd")="Sun",AJ$13="",$D132=""),"",IF('Leave Planner'!AH133="",1,0))</f>
        <v/>
      </c>
    </row>
    <row r="133" spans="2:36" x14ac:dyDescent="0.75">
      <c r="B133" s="15"/>
      <c r="C133" s="22"/>
      <c r="D133" s="22"/>
      <c r="E133" s="42" t="str">
        <f t="shared" si="6"/>
        <v/>
      </c>
      <c r="F133" s="17" t="str">
        <f>IF(OR(TEXT(F$13,"ddd")="Sun",F$13="",$D133=""),"",IF('Leave Planner'!D134="",1,0))</f>
        <v/>
      </c>
      <c r="G133" s="17" t="str">
        <f>IF(OR(TEXT(G$13,"ddd")="Sun",G$13="",$D133=""),"",IF('Leave Planner'!E134="",1,0))</f>
        <v/>
      </c>
      <c r="H133" s="17" t="str">
        <f>IF(OR(TEXT(H$13,"ddd")="Sun",H$13="",$D133=""),"",IF('Leave Planner'!F134="",1,0))</f>
        <v/>
      </c>
      <c r="I133" s="17" t="str">
        <f>IF(OR(TEXT(I$13,"ddd")="Sun",I$13="",$D133=""),"",IF('Leave Planner'!G134="",1,0))</f>
        <v/>
      </c>
      <c r="J133" s="17" t="str">
        <f>IF(OR(TEXT(J$13,"ddd")="Sun",J$13="",$D133=""),"",IF('Leave Planner'!H134="",1,0))</f>
        <v/>
      </c>
      <c r="K133" s="17" t="str">
        <f>IF(OR(TEXT(K$13,"ddd")="Sun",K$13="",$D133=""),"",IF('Leave Planner'!I134="",1,0))</f>
        <v/>
      </c>
      <c r="L133" s="17" t="str">
        <f>IF(OR(TEXT(L$13,"ddd")="Sun",L$13="",$D133=""),"",IF('Leave Planner'!J134="",1,0))</f>
        <v/>
      </c>
      <c r="M133" s="17" t="str">
        <f>IF(OR(TEXT(M$13,"ddd")="Sun",M$13="",$D133=""),"",IF('Leave Planner'!K134="",1,0))</f>
        <v/>
      </c>
      <c r="N133" s="17" t="str">
        <f>IF(OR(TEXT(N$13,"ddd")="Sun",N$13="",$D133=""),"",IF('Leave Planner'!L134="",1,0))</f>
        <v/>
      </c>
      <c r="O133" s="17" t="str">
        <f>IF(OR(TEXT(O$13,"ddd")="Sun",O$13="",$D133=""),"",IF('Leave Planner'!M134="",1,0))</f>
        <v/>
      </c>
      <c r="P133" s="17" t="str">
        <f>IF(OR(TEXT(P$13,"ddd")="Sun",P$13="",$D133=""),"",IF('Leave Planner'!N134="",1,0))</f>
        <v/>
      </c>
      <c r="Q133" s="17" t="str">
        <f>IF(OR(TEXT(Q$13,"ddd")="Sun",Q$13="",$D133=""),"",IF('Leave Planner'!O134="",1,0))</f>
        <v/>
      </c>
      <c r="R133" s="17" t="str">
        <f>IF(OR(TEXT(R$13,"ddd")="Sun",R$13="",$D133=""),"",IF('Leave Planner'!P134="",1,0))</f>
        <v/>
      </c>
      <c r="S133" s="17" t="str">
        <f>IF(OR(TEXT(S$13,"ddd")="Sun",S$13="",$D133=""),"",IF('Leave Planner'!Q134="",1,0))</f>
        <v/>
      </c>
      <c r="T133" s="17" t="str">
        <f>IF(OR(TEXT(T$13,"ddd")="Sun",T$13="",$D133=""),"",IF('Leave Planner'!R134="",1,0))</f>
        <v/>
      </c>
      <c r="U133" s="17" t="str">
        <f>IF(OR(TEXT(U$13,"ddd")="Sun",U$13="",$D133=""),"",IF('Leave Planner'!S134="",1,0))</f>
        <v/>
      </c>
      <c r="V133" s="17" t="str">
        <f>IF(OR(TEXT(V$13,"ddd")="Sun",V$13="",$D133=""),"",IF('Leave Planner'!T134="",1,0))</f>
        <v/>
      </c>
      <c r="W133" s="17" t="str">
        <f>IF(OR(TEXT(W$13,"ddd")="Sun",W$13="",$D133=""),"",IF('Leave Planner'!U134="",1,0))</f>
        <v/>
      </c>
      <c r="X133" s="17" t="str">
        <f>IF(OR(TEXT(X$13,"ddd")="Sun",X$13="",$D133=""),"",IF('Leave Planner'!V134="",1,0))</f>
        <v/>
      </c>
      <c r="Y133" s="17" t="str">
        <f>IF(OR(TEXT(Y$13,"ddd")="Sun",Y$13="",$D133=""),"",IF('Leave Planner'!W134="",1,0))</f>
        <v/>
      </c>
      <c r="Z133" s="17" t="str">
        <f>IF(OR(TEXT(Z$13,"ddd")="Sun",Z$13="",$D133=""),"",IF('Leave Planner'!X134="",1,0))</f>
        <v/>
      </c>
      <c r="AA133" s="17" t="str">
        <f>IF(OR(TEXT(AA$13,"ddd")="Sun",AA$13="",$D133=""),"",IF('Leave Planner'!Y134="",1,0))</f>
        <v/>
      </c>
      <c r="AB133" s="17" t="str">
        <f>IF(OR(TEXT(AB$13,"ddd")="Sun",AB$13="",$D133=""),"",IF('Leave Planner'!Z134="",1,0))</f>
        <v/>
      </c>
      <c r="AC133" s="17" t="str">
        <f>IF(OR(TEXT(AC$13,"ddd")="Sun",AC$13="",$D133=""),"",IF('Leave Planner'!AA134="",1,0))</f>
        <v/>
      </c>
      <c r="AD133" s="17" t="str">
        <f>IF(OR(TEXT(AD$13,"ddd")="Sun",AD$13="",$D133=""),"",IF('Leave Planner'!AB134="",1,0))</f>
        <v/>
      </c>
      <c r="AE133" s="17" t="str">
        <f>IF(OR(TEXT(AE$13,"ddd")="Sun",AE$13="",$D133=""),"",IF('Leave Planner'!AC134="",1,0))</f>
        <v/>
      </c>
      <c r="AF133" s="17" t="str">
        <f>IF(OR(TEXT(AF$13,"ddd")="Sun",AF$13="",$D133=""),"",IF('Leave Planner'!AD134="",1,0))</f>
        <v/>
      </c>
      <c r="AG133" s="17" t="str">
        <f>IF(OR(TEXT(AG$13,"ddd")="Sun",AG$13="",$D133=""),"",IF('Leave Planner'!AE134="",1,0))</f>
        <v/>
      </c>
      <c r="AH133" s="17" t="str">
        <f>IF(OR(TEXT(AH$13,"ddd")="Sun",AH$13="",$D133=""),"",IF('Leave Planner'!AF134="",1,0))</f>
        <v/>
      </c>
      <c r="AI133" s="17" t="str">
        <f>IF(OR(TEXT(AI$13,"ddd")="Sun",AI$13="",$D133=""),"",IF('Leave Planner'!AG134="",1,0))</f>
        <v/>
      </c>
      <c r="AJ133" s="17" t="str">
        <f>IF(OR(TEXT(AJ$13,"ddd")="Sun",AJ$13="",$D133=""),"",IF('Leave Planner'!AH134="",1,0))</f>
        <v/>
      </c>
    </row>
    <row r="134" spans="2:36" x14ac:dyDescent="0.75">
      <c r="B134" s="15"/>
      <c r="C134" s="22"/>
      <c r="D134" s="22"/>
      <c r="E134" s="42" t="str">
        <f t="shared" si="6"/>
        <v/>
      </c>
      <c r="F134" s="17" t="str">
        <f>IF(OR(TEXT(F$13,"ddd")="Sun",F$13="",$D134=""),"",IF('Leave Planner'!D135="",1,0))</f>
        <v/>
      </c>
      <c r="G134" s="17" t="str">
        <f>IF(OR(TEXT(G$13,"ddd")="Sun",G$13="",$D134=""),"",IF('Leave Planner'!E135="",1,0))</f>
        <v/>
      </c>
      <c r="H134" s="17" t="str">
        <f>IF(OR(TEXT(H$13,"ddd")="Sun",H$13="",$D134=""),"",IF('Leave Planner'!F135="",1,0))</f>
        <v/>
      </c>
      <c r="I134" s="17" t="str">
        <f>IF(OR(TEXT(I$13,"ddd")="Sun",I$13="",$D134=""),"",IF('Leave Planner'!G135="",1,0))</f>
        <v/>
      </c>
      <c r="J134" s="17" t="str">
        <f>IF(OR(TEXT(J$13,"ddd")="Sun",J$13="",$D134=""),"",IF('Leave Planner'!H135="",1,0))</f>
        <v/>
      </c>
      <c r="K134" s="17" t="str">
        <f>IF(OR(TEXT(K$13,"ddd")="Sun",K$13="",$D134=""),"",IF('Leave Planner'!I135="",1,0))</f>
        <v/>
      </c>
      <c r="L134" s="17" t="str">
        <f>IF(OR(TEXT(L$13,"ddd")="Sun",L$13="",$D134=""),"",IF('Leave Planner'!J135="",1,0))</f>
        <v/>
      </c>
      <c r="M134" s="17" t="str">
        <f>IF(OR(TEXT(M$13,"ddd")="Sun",M$13="",$D134=""),"",IF('Leave Planner'!K135="",1,0))</f>
        <v/>
      </c>
      <c r="N134" s="17" t="str">
        <f>IF(OR(TEXT(N$13,"ddd")="Sun",N$13="",$D134=""),"",IF('Leave Planner'!L135="",1,0))</f>
        <v/>
      </c>
      <c r="O134" s="17" t="str">
        <f>IF(OR(TEXT(O$13,"ddd")="Sun",O$13="",$D134=""),"",IF('Leave Planner'!M135="",1,0))</f>
        <v/>
      </c>
      <c r="P134" s="17" t="str">
        <f>IF(OR(TEXT(P$13,"ddd")="Sun",P$13="",$D134=""),"",IF('Leave Planner'!N135="",1,0))</f>
        <v/>
      </c>
      <c r="Q134" s="17" t="str">
        <f>IF(OR(TEXT(Q$13,"ddd")="Sun",Q$13="",$D134=""),"",IF('Leave Planner'!O135="",1,0))</f>
        <v/>
      </c>
      <c r="R134" s="17" t="str">
        <f>IF(OR(TEXT(R$13,"ddd")="Sun",R$13="",$D134=""),"",IF('Leave Planner'!P135="",1,0))</f>
        <v/>
      </c>
      <c r="S134" s="17" t="str">
        <f>IF(OR(TEXT(S$13,"ddd")="Sun",S$13="",$D134=""),"",IF('Leave Planner'!Q135="",1,0))</f>
        <v/>
      </c>
      <c r="T134" s="17" t="str">
        <f>IF(OR(TEXT(T$13,"ddd")="Sun",T$13="",$D134=""),"",IF('Leave Planner'!R135="",1,0))</f>
        <v/>
      </c>
      <c r="U134" s="17" t="str">
        <f>IF(OR(TEXT(U$13,"ddd")="Sun",U$13="",$D134=""),"",IF('Leave Planner'!S135="",1,0))</f>
        <v/>
      </c>
      <c r="V134" s="17" t="str">
        <f>IF(OR(TEXT(V$13,"ddd")="Sun",V$13="",$D134=""),"",IF('Leave Planner'!T135="",1,0))</f>
        <v/>
      </c>
      <c r="W134" s="17" t="str">
        <f>IF(OR(TEXT(W$13,"ddd")="Sun",W$13="",$D134=""),"",IF('Leave Planner'!U135="",1,0))</f>
        <v/>
      </c>
      <c r="X134" s="17" t="str">
        <f>IF(OR(TEXT(X$13,"ddd")="Sun",X$13="",$D134=""),"",IF('Leave Planner'!V135="",1,0))</f>
        <v/>
      </c>
      <c r="Y134" s="17" t="str">
        <f>IF(OR(TEXT(Y$13,"ddd")="Sun",Y$13="",$D134=""),"",IF('Leave Planner'!W135="",1,0))</f>
        <v/>
      </c>
      <c r="Z134" s="17" t="str">
        <f>IF(OR(TEXT(Z$13,"ddd")="Sun",Z$13="",$D134=""),"",IF('Leave Planner'!X135="",1,0))</f>
        <v/>
      </c>
      <c r="AA134" s="17" t="str">
        <f>IF(OR(TEXT(AA$13,"ddd")="Sun",AA$13="",$D134=""),"",IF('Leave Planner'!Y135="",1,0))</f>
        <v/>
      </c>
      <c r="AB134" s="17" t="str">
        <f>IF(OR(TEXT(AB$13,"ddd")="Sun",AB$13="",$D134=""),"",IF('Leave Planner'!Z135="",1,0))</f>
        <v/>
      </c>
      <c r="AC134" s="17" t="str">
        <f>IF(OR(TEXT(AC$13,"ddd")="Sun",AC$13="",$D134=""),"",IF('Leave Planner'!AA135="",1,0))</f>
        <v/>
      </c>
      <c r="AD134" s="17" t="str">
        <f>IF(OR(TEXT(AD$13,"ddd")="Sun",AD$13="",$D134=""),"",IF('Leave Planner'!AB135="",1,0))</f>
        <v/>
      </c>
      <c r="AE134" s="17" t="str">
        <f>IF(OR(TEXT(AE$13,"ddd")="Sun",AE$13="",$D134=""),"",IF('Leave Planner'!AC135="",1,0))</f>
        <v/>
      </c>
      <c r="AF134" s="17" t="str">
        <f>IF(OR(TEXT(AF$13,"ddd")="Sun",AF$13="",$D134=""),"",IF('Leave Planner'!AD135="",1,0))</f>
        <v/>
      </c>
      <c r="AG134" s="17" t="str">
        <f>IF(OR(TEXT(AG$13,"ddd")="Sun",AG$13="",$D134=""),"",IF('Leave Planner'!AE135="",1,0))</f>
        <v/>
      </c>
      <c r="AH134" s="17" t="str">
        <f>IF(OR(TEXT(AH$13,"ddd")="Sun",AH$13="",$D134=""),"",IF('Leave Planner'!AF135="",1,0))</f>
        <v/>
      </c>
      <c r="AI134" s="17" t="str">
        <f>IF(OR(TEXT(AI$13,"ddd")="Sun",AI$13="",$D134=""),"",IF('Leave Planner'!AG135="",1,0))</f>
        <v/>
      </c>
      <c r="AJ134" s="17" t="str">
        <f>IF(OR(TEXT(AJ$13,"ddd")="Sun",AJ$13="",$D134=""),"",IF('Leave Planner'!AH135="",1,0))</f>
        <v/>
      </c>
    </row>
    <row r="135" spans="2:36" x14ac:dyDescent="0.75">
      <c r="B135" s="15"/>
      <c r="C135" s="22"/>
      <c r="D135" s="22"/>
      <c r="E135" s="42" t="str">
        <f t="shared" si="6"/>
        <v/>
      </c>
      <c r="F135" s="17" t="str">
        <f>IF(OR(TEXT(F$13,"ddd")="Sun",F$13="",$D135=""),"",IF('Leave Planner'!D136="",1,0))</f>
        <v/>
      </c>
      <c r="G135" s="17" t="str">
        <f>IF(OR(TEXT(G$13,"ddd")="Sun",G$13="",$D135=""),"",IF('Leave Planner'!E136="",1,0))</f>
        <v/>
      </c>
      <c r="H135" s="17" t="str">
        <f>IF(OR(TEXT(H$13,"ddd")="Sun",H$13="",$D135=""),"",IF('Leave Planner'!F136="",1,0))</f>
        <v/>
      </c>
      <c r="I135" s="17" t="str">
        <f>IF(OR(TEXT(I$13,"ddd")="Sun",I$13="",$D135=""),"",IF('Leave Planner'!G136="",1,0))</f>
        <v/>
      </c>
      <c r="J135" s="17" t="str">
        <f>IF(OR(TEXT(J$13,"ddd")="Sun",J$13="",$D135=""),"",IF('Leave Planner'!H136="",1,0))</f>
        <v/>
      </c>
      <c r="K135" s="17" t="str">
        <f>IF(OR(TEXT(K$13,"ddd")="Sun",K$13="",$D135=""),"",IF('Leave Planner'!I136="",1,0))</f>
        <v/>
      </c>
      <c r="L135" s="17" t="str">
        <f>IF(OR(TEXT(L$13,"ddd")="Sun",L$13="",$D135=""),"",IF('Leave Planner'!J136="",1,0))</f>
        <v/>
      </c>
      <c r="M135" s="17" t="str">
        <f>IF(OR(TEXT(M$13,"ddd")="Sun",M$13="",$D135=""),"",IF('Leave Planner'!K136="",1,0))</f>
        <v/>
      </c>
      <c r="N135" s="17" t="str">
        <f>IF(OR(TEXT(N$13,"ddd")="Sun",N$13="",$D135=""),"",IF('Leave Planner'!L136="",1,0))</f>
        <v/>
      </c>
      <c r="O135" s="17" t="str">
        <f>IF(OR(TEXT(O$13,"ddd")="Sun",O$13="",$D135=""),"",IF('Leave Planner'!M136="",1,0))</f>
        <v/>
      </c>
      <c r="P135" s="17" t="str">
        <f>IF(OR(TEXT(P$13,"ddd")="Sun",P$13="",$D135=""),"",IF('Leave Planner'!N136="",1,0))</f>
        <v/>
      </c>
      <c r="Q135" s="17" t="str">
        <f>IF(OR(TEXT(Q$13,"ddd")="Sun",Q$13="",$D135=""),"",IF('Leave Planner'!O136="",1,0))</f>
        <v/>
      </c>
      <c r="R135" s="17" t="str">
        <f>IF(OR(TEXT(R$13,"ddd")="Sun",R$13="",$D135=""),"",IF('Leave Planner'!P136="",1,0))</f>
        <v/>
      </c>
      <c r="S135" s="17" t="str">
        <f>IF(OR(TEXT(S$13,"ddd")="Sun",S$13="",$D135=""),"",IF('Leave Planner'!Q136="",1,0))</f>
        <v/>
      </c>
      <c r="T135" s="17" t="str">
        <f>IF(OR(TEXT(T$13,"ddd")="Sun",T$13="",$D135=""),"",IF('Leave Planner'!R136="",1,0))</f>
        <v/>
      </c>
      <c r="U135" s="17" t="str">
        <f>IF(OR(TEXT(U$13,"ddd")="Sun",U$13="",$D135=""),"",IF('Leave Planner'!S136="",1,0))</f>
        <v/>
      </c>
      <c r="V135" s="17" t="str">
        <f>IF(OR(TEXT(V$13,"ddd")="Sun",V$13="",$D135=""),"",IF('Leave Planner'!T136="",1,0))</f>
        <v/>
      </c>
      <c r="W135" s="17" t="str">
        <f>IF(OR(TEXT(W$13,"ddd")="Sun",W$13="",$D135=""),"",IF('Leave Planner'!U136="",1,0))</f>
        <v/>
      </c>
      <c r="X135" s="17" t="str">
        <f>IF(OR(TEXT(X$13,"ddd")="Sun",X$13="",$D135=""),"",IF('Leave Planner'!V136="",1,0))</f>
        <v/>
      </c>
      <c r="Y135" s="17" t="str">
        <f>IF(OR(TEXT(Y$13,"ddd")="Sun",Y$13="",$D135=""),"",IF('Leave Planner'!W136="",1,0))</f>
        <v/>
      </c>
      <c r="Z135" s="17" t="str">
        <f>IF(OR(TEXT(Z$13,"ddd")="Sun",Z$13="",$D135=""),"",IF('Leave Planner'!X136="",1,0))</f>
        <v/>
      </c>
      <c r="AA135" s="17" t="str">
        <f>IF(OR(TEXT(AA$13,"ddd")="Sun",AA$13="",$D135=""),"",IF('Leave Planner'!Y136="",1,0))</f>
        <v/>
      </c>
      <c r="AB135" s="17" t="str">
        <f>IF(OR(TEXT(AB$13,"ddd")="Sun",AB$13="",$D135=""),"",IF('Leave Planner'!Z136="",1,0))</f>
        <v/>
      </c>
      <c r="AC135" s="17" t="str">
        <f>IF(OR(TEXT(AC$13,"ddd")="Sun",AC$13="",$D135=""),"",IF('Leave Planner'!AA136="",1,0))</f>
        <v/>
      </c>
      <c r="AD135" s="17" t="str">
        <f>IF(OR(TEXT(AD$13,"ddd")="Sun",AD$13="",$D135=""),"",IF('Leave Planner'!AB136="",1,0))</f>
        <v/>
      </c>
      <c r="AE135" s="17" t="str">
        <f>IF(OR(TEXT(AE$13,"ddd")="Sun",AE$13="",$D135=""),"",IF('Leave Planner'!AC136="",1,0))</f>
        <v/>
      </c>
      <c r="AF135" s="17" t="str">
        <f>IF(OR(TEXT(AF$13,"ddd")="Sun",AF$13="",$D135=""),"",IF('Leave Planner'!AD136="",1,0))</f>
        <v/>
      </c>
      <c r="AG135" s="17" t="str">
        <f>IF(OR(TEXT(AG$13,"ddd")="Sun",AG$13="",$D135=""),"",IF('Leave Planner'!AE136="",1,0))</f>
        <v/>
      </c>
      <c r="AH135" s="17" t="str">
        <f>IF(OR(TEXT(AH$13,"ddd")="Sun",AH$13="",$D135=""),"",IF('Leave Planner'!AF136="",1,0))</f>
        <v/>
      </c>
      <c r="AI135" s="17" t="str">
        <f>IF(OR(TEXT(AI$13,"ddd")="Sun",AI$13="",$D135=""),"",IF('Leave Planner'!AG136="",1,0))</f>
        <v/>
      </c>
      <c r="AJ135" s="17" t="str">
        <f>IF(OR(TEXT(AJ$13,"ddd")="Sun",AJ$13="",$D135=""),"",IF('Leave Planner'!AH136="",1,0))</f>
        <v/>
      </c>
    </row>
    <row r="136" spans="2:36" x14ac:dyDescent="0.75">
      <c r="B136" s="15"/>
      <c r="C136" s="22"/>
      <c r="D136" s="22"/>
      <c r="E136" s="42" t="str">
        <f t="shared" si="6"/>
        <v/>
      </c>
      <c r="F136" s="17" t="str">
        <f>IF(OR(TEXT(F$13,"ddd")="Sun",F$13="",$D136=""),"",IF('Leave Planner'!D137="",1,0))</f>
        <v/>
      </c>
      <c r="G136" s="17" t="str">
        <f>IF(OR(TEXT(G$13,"ddd")="Sun",G$13="",$D136=""),"",IF('Leave Planner'!E137="",1,0))</f>
        <v/>
      </c>
      <c r="H136" s="17" t="str">
        <f>IF(OR(TEXT(H$13,"ddd")="Sun",H$13="",$D136=""),"",IF('Leave Planner'!F137="",1,0))</f>
        <v/>
      </c>
      <c r="I136" s="17" t="str">
        <f>IF(OR(TEXT(I$13,"ddd")="Sun",I$13="",$D136=""),"",IF('Leave Planner'!G137="",1,0))</f>
        <v/>
      </c>
      <c r="J136" s="17" t="str">
        <f>IF(OR(TEXT(J$13,"ddd")="Sun",J$13="",$D136=""),"",IF('Leave Planner'!H137="",1,0))</f>
        <v/>
      </c>
      <c r="K136" s="17" t="str">
        <f>IF(OR(TEXT(K$13,"ddd")="Sun",K$13="",$D136=""),"",IF('Leave Planner'!I137="",1,0))</f>
        <v/>
      </c>
      <c r="L136" s="17" t="str">
        <f>IF(OR(TEXT(L$13,"ddd")="Sun",L$13="",$D136=""),"",IF('Leave Planner'!J137="",1,0))</f>
        <v/>
      </c>
      <c r="M136" s="17" t="str">
        <f>IF(OR(TEXT(M$13,"ddd")="Sun",M$13="",$D136=""),"",IF('Leave Planner'!K137="",1,0))</f>
        <v/>
      </c>
      <c r="N136" s="17" t="str">
        <f>IF(OR(TEXT(N$13,"ddd")="Sun",N$13="",$D136=""),"",IF('Leave Planner'!L137="",1,0))</f>
        <v/>
      </c>
      <c r="O136" s="17" t="str">
        <f>IF(OR(TEXT(O$13,"ddd")="Sun",O$13="",$D136=""),"",IF('Leave Planner'!M137="",1,0))</f>
        <v/>
      </c>
      <c r="P136" s="17" t="str">
        <f>IF(OR(TEXT(P$13,"ddd")="Sun",P$13="",$D136=""),"",IF('Leave Planner'!N137="",1,0))</f>
        <v/>
      </c>
      <c r="Q136" s="17" t="str">
        <f>IF(OR(TEXT(Q$13,"ddd")="Sun",Q$13="",$D136=""),"",IF('Leave Planner'!O137="",1,0))</f>
        <v/>
      </c>
      <c r="R136" s="17" t="str">
        <f>IF(OR(TEXT(R$13,"ddd")="Sun",R$13="",$D136=""),"",IF('Leave Planner'!P137="",1,0))</f>
        <v/>
      </c>
      <c r="S136" s="17" t="str">
        <f>IF(OR(TEXT(S$13,"ddd")="Sun",S$13="",$D136=""),"",IF('Leave Planner'!Q137="",1,0))</f>
        <v/>
      </c>
      <c r="T136" s="17" t="str">
        <f>IF(OR(TEXT(T$13,"ddd")="Sun",T$13="",$D136=""),"",IF('Leave Planner'!R137="",1,0))</f>
        <v/>
      </c>
      <c r="U136" s="17" t="str">
        <f>IF(OR(TEXT(U$13,"ddd")="Sun",U$13="",$D136=""),"",IF('Leave Planner'!S137="",1,0))</f>
        <v/>
      </c>
      <c r="V136" s="17" t="str">
        <f>IF(OR(TEXT(V$13,"ddd")="Sun",V$13="",$D136=""),"",IF('Leave Planner'!T137="",1,0))</f>
        <v/>
      </c>
      <c r="W136" s="17" t="str">
        <f>IF(OR(TEXT(W$13,"ddd")="Sun",W$13="",$D136=""),"",IF('Leave Planner'!U137="",1,0))</f>
        <v/>
      </c>
      <c r="X136" s="17" t="str">
        <f>IF(OR(TEXT(X$13,"ddd")="Sun",X$13="",$D136=""),"",IF('Leave Planner'!V137="",1,0))</f>
        <v/>
      </c>
      <c r="Y136" s="17" t="str">
        <f>IF(OR(TEXT(Y$13,"ddd")="Sun",Y$13="",$D136=""),"",IF('Leave Planner'!W137="",1,0))</f>
        <v/>
      </c>
      <c r="Z136" s="17" t="str">
        <f>IF(OR(TEXT(Z$13,"ddd")="Sun",Z$13="",$D136=""),"",IF('Leave Planner'!X137="",1,0))</f>
        <v/>
      </c>
      <c r="AA136" s="17" t="str">
        <f>IF(OR(TEXT(AA$13,"ddd")="Sun",AA$13="",$D136=""),"",IF('Leave Planner'!Y137="",1,0))</f>
        <v/>
      </c>
      <c r="AB136" s="17" t="str">
        <f>IF(OR(TEXT(AB$13,"ddd")="Sun",AB$13="",$D136=""),"",IF('Leave Planner'!Z137="",1,0))</f>
        <v/>
      </c>
      <c r="AC136" s="17" t="str">
        <f>IF(OR(TEXT(AC$13,"ddd")="Sun",AC$13="",$D136=""),"",IF('Leave Planner'!AA137="",1,0))</f>
        <v/>
      </c>
      <c r="AD136" s="17" t="str">
        <f>IF(OR(TEXT(AD$13,"ddd")="Sun",AD$13="",$D136=""),"",IF('Leave Planner'!AB137="",1,0))</f>
        <v/>
      </c>
      <c r="AE136" s="17" t="str">
        <f>IF(OR(TEXT(AE$13,"ddd")="Sun",AE$13="",$D136=""),"",IF('Leave Planner'!AC137="",1,0))</f>
        <v/>
      </c>
      <c r="AF136" s="17" t="str">
        <f>IF(OR(TEXT(AF$13,"ddd")="Sun",AF$13="",$D136=""),"",IF('Leave Planner'!AD137="",1,0))</f>
        <v/>
      </c>
      <c r="AG136" s="17" t="str">
        <f>IF(OR(TEXT(AG$13,"ddd")="Sun",AG$13="",$D136=""),"",IF('Leave Planner'!AE137="",1,0))</f>
        <v/>
      </c>
      <c r="AH136" s="17" t="str">
        <f>IF(OR(TEXT(AH$13,"ddd")="Sun",AH$13="",$D136=""),"",IF('Leave Planner'!AF137="",1,0))</f>
        <v/>
      </c>
      <c r="AI136" s="17" t="str">
        <f>IF(OR(TEXT(AI$13,"ddd")="Sun",AI$13="",$D136=""),"",IF('Leave Planner'!AG137="",1,0))</f>
        <v/>
      </c>
      <c r="AJ136" s="17" t="str">
        <f>IF(OR(TEXT(AJ$13,"ddd")="Sun",AJ$13="",$D136=""),"",IF('Leave Planner'!AH137="",1,0))</f>
        <v/>
      </c>
    </row>
    <row r="137" spans="2:36" x14ac:dyDescent="0.75">
      <c r="B137" s="15"/>
      <c r="C137" s="22"/>
      <c r="D137" s="22"/>
      <c r="E137" s="42" t="str">
        <f t="shared" si="6"/>
        <v/>
      </c>
      <c r="F137" s="17" t="str">
        <f>IF(OR(TEXT(F$13,"ddd")="Sun",F$13="",$D137=""),"",IF('Leave Planner'!D138="",1,0))</f>
        <v/>
      </c>
      <c r="G137" s="17" t="str">
        <f>IF(OR(TEXT(G$13,"ddd")="Sun",G$13="",$D137=""),"",IF('Leave Planner'!E138="",1,0))</f>
        <v/>
      </c>
      <c r="H137" s="17" t="str">
        <f>IF(OR(TEXT(H$13,"ddd")="Sun",H$13="",$D137=""),"",IF('Leave Planner'!F138="",1,0))</f>
        <v/>
      </c>
      <c r="I137" s="17" t="str">
        <f>IF(OR(TEXT(I$13,"ddd")="Sun",I$13="",$D137=""),"",IF('Leave Planner'!G138="",1,0))</f>
        <v/>
      </c>
      <c r="J137" s="17" t="str">
        <f>IF(OR(TEXT(J$13,"ddd")="Sun",J$13="",$D137=""),"",IF('Leave Planner'!H138="",1,0))</f>
        <v/>
      </c>
      <c r="K137" s="17" t="str">
        <f>IF(OR(TEXT(K$13,"ddd")="Sun",K$13="",$D137=""),"",IF('Leave Planner'!I138="",1,0))</f>
        <v/>
      </c>
      <c r="L137" s="17" t="str">
        <f>IF(OR(TEXT(L$13,"ddd")="Sun",L$13="",$D137=""),"",IF('Leave Planner'!J138="",1,0))</f>
        <v/>
      </c>
      <c r="M137" s="17" t="str">
        <f>IF(OR(TEXT(M$13,"ddd")="Sun",M$13="",$D137=""),"",IF('Leave Planner'!K138="",1,0))</f>
        <v/>
      </c>
      <c r="N137" s="17" t="str">
        <f>IF(OR(TEXT(N$13,"ddd")="Sun",N$13="",$D137=""),"",IF('Leave Planner'!L138="",1,0))</f>
        <v/>
      </c>
      <c r="O137" s="17" t="str">
        <f>IF(OR(TEXT(O$13,"ddd")="Sun",O$13="",$D137=""),"",IF('Leave Planner'!M138="",1,0))</f>
        <v/>
      </c>
      <c r="P137" s="17" t="str">
        <f>IF(OR(TEXT(P$13,"ddd")="Sun",P$13="",$D137=""),"",IF('Leave Planner'!N138="",1,0))</f>
        <v/>
      </c>
      <c r="Q137" s="17" t="str">
        <f>IF(OR(TEXT(Q$13,"ddd")="Sun",Q$13="",$D137=""),"",IF('Leave Planner'!O138="",1,0))</f>
        <v/>
      </c>
      <c r="R137" s="17" t="str">
        <f>IF(OR(TEXT(R$13,"ddd")="Sun",R$13="",$D137=""),"",IF('Leave Planner'!P138="",1,0))</f>
        <v/>
      </c>
      <c r="S137" s="17" t="str">
        <f>IF(OR(TEXT(S$13,"ddd")="Sun",S$13="",$D137=""),"",IF('Leave Planner'!Q138="",1,0))</f>
        <v/>
      </c>
      <c r="T137" s="17" t="str">
        <f>IF(OR(TEXT(T$13,"ddd")="Sun",T$13="",$D137=""),"",IF('Leave Planner'!R138="",1,0))</f>
        <v/>
      </c>
      <c r="U137" s="17" t="str">
        <f>IF(OR(TEXT(U$13,"ddd")="Sun",U$13="",$D137=""),"",IF('Leave Planner'!S138="",1,0))</f>
        <v/>
      </c>
      <c r="V137" s="17" t="str">
        <f>IF(OR(TEXT(V$13,"ddd")="Sun",V$13="",$D137=""),"",IF('Leave Planner'!T138="",1,0))</f>
        <v/>
      </c>
      <c r="W137" s="17" t="str">
        <f>IF(OR(TEXT(W$13,"ddd")="Sun",W$13="",$D137=""),"",IF('Leave Planner'!U138="",1,0))</f>
        <v/>
      </c>
      <c r="X137" s="17" t="str">
        <f>IF(OR(TEXT(X$13,"ddd")="Sun",X$13="",$D137=""),"",IF('Leave Planner'!V138="",1,0))</f>
        <v/>
      </c>
      <c r="Y137" s="17" t="str">
        <f>IF(OR(TEXT(Y$13,"ddd")="Sun",Y$13="",$D137=""),"",IF('Leave Planner'!W138="",1,0))</f>
        <v/>
      </c>
      <c r="Z137" s="17" t="str">
        <f>IF(OR(TEXT(Z$13,"ddd")="Sun",Z$13="",$D137=""),"",IF('Leave Planner'!X138="",1,0))</f>
        <v/>
      </c>
      <c r="AA137" s="17" t="str">
        <f>IF(OR(TEXT(AA$13,"ddd")="Sun",AA$13="",$D137=""),"",IF('Leave Planner'!Y138="",1,0))</f>
        <v/>
      </c>
      <c r="AB137" s="17" t="str">
        <f>IF(OR(TEXT(AB$13,"ddd")="Sun",AB$13="",$D137=""),"",IF('Leave Planner'!Z138="",1,0))</f>
        <v/>
      </c>
      <c r="AC137" s="17" t="str">
        <f>IF(OR(TEXT(AC$13,"ddd")="Sun",AC$13="",$D137=""),"",IF('Leave Planner'!AA138="",1,0))</f>
        <v/>
      </c>
      <c r="AD137" s="17" t="str">
        <f>IF(OR(TEXT(AD$13,"ddd")="Sun",AD$13="",$D137=""),"",IF('Leave Planner'!AB138="",1,0))</f>
        <v/>
      </c>
      <c r="AE137" s="17" t="str">
        <f>IF(OR(TEXT(AE$13,"ddd")="Sun",AE$13="",$D137=""),"",IF('Leave Planner'!AC138="",1,0))</f>
        <v/>
      </c>
      <c r="AF137" s="17" t="str">
        <f>IF(OR(TEXT(AF$13,"ddd")="Sun",AF$13="",$D137=""),"",IF('Leave Planner'!AD138="",1,0))</f>
        <v/>
      </c>
      <c r="AG137" s="17" t="str">
        <f>IF(OR(TEXT(AG$13,"ddd")="Sun",AG$13="",$D137=""),"",IF('Leave Planner'!AE138="",1,0))</f>
        <v/>
      </c>
      <c r="AH137" s="17" t="str">
        <f>IF(OR(TEXT(AH$13,"ddd")="Sun",AH$13="",$D137=""),"",IF('Leave Planner'!AF138="",1,0))</f>
        <v/>
      </c>
      <c r="AI137" s="17" t="str">
        <f>IF(OR(TEXT(AI$13,"ddd")="Sun",AI$13="",$D137=""),"",IF('Leave Planner'!AG138="",1,0))</f>
        <v/>
      </c>
      <c r="AJ137" s="17" t="str">
        <f>IF(OR(TEXT(AJ$13,"ddd")="Sun",AJ$13="",$D137=""),"",IF('Leave Planner'!AH138="",1,0))</f>
        <v/>
      </c>
    </row>
    <row r="138" spans="2:36" x14ac:dyDescent="0.75">
      <c r="B138" s="15"/>
      <c r="C138" s="22"/>
      <c r="D138" s="22"/>
      <c r="E138" s="42" t="str">
        <f t="shared" si="6"/>
        <v/>
      </c>
      <c r="F138" s="17" t="str">
        <f>IF(OR(TEXT(F$13,"ddd")="Sun",F$13="",$D138=""),"",IF('Leave Planner'!D139="",1,0))</f>
        <v/>
      </c>
      <c r="G138" s="17" t="str">
        <f>IF(OR(TEXT(G$13,"ddd")="Sun",G$13="",$D138=""),"",IF('Leave Planner'!E139="",1,0))</f>
        <v/>
      </c>
      <c r="H138" s="17" t="str">
        <f>IF(OR(TEXT(H$13,"ddd")="Sun",H$13="",$D138=""),"",IF('Leave Planner'!F139="",1,0))</f>
        <v/>
      </c>
      <c r="I138" s="17" t="str">
        <f>IF(OR(TEXT(I$13,"ddd")="Sun",I$13="",$D138=""),"",IF('Leave Planner'!G139="",1,0))</f>
        <v/>
      </c>
      <c r="J138" s="17" t="str">
        <f>IF(OR(TEXT(J$13,"ddd")="Sun",J$13="",$D138=""),"",IF('Leave Planner'!H139="",1,0))</f>
        <v/>
      </c>
      <c r="K138" s="17" t="str">
        <f>IF(OR(TEXT(K$13,"ddd")="Sun",K$13="",$D138=""),"",IF('Leave Planner'!I139="",1,0))</f>
        <v/>
      </c>
      <c r="L138" s="17" t="str">
        <f>IF(OR(TEXT(L$13,"ddd")="Sun",L$13="",$D138=""),"",IF('Leave Planner'!J139="",1,0))</f>
        <v/>
      </c>
      <c r="M138" s="17" t="str">
        <f>IF(OR(TEXT(M$13,"ddd")="Sun",M$13="",$D138=""),"",IF('Leave Planner'!K139="",1,0))</f>
        <v/>
      </c>
      <c r="N138" s="17" t="str">
        <f>IF(OR(TEXT(N$13,"ddd")="Sun",N$13="",$D138=""),"",IF('Leave Planner'!L139="",1,0))</f>
        <v/>
      </c>
      <c r="O138" s="17" t="str">
        <f>IF(OR(TEXT(O$13,"ddd")="Sun",O$13="",$D138=""),"",IF('Leave Planner'!M139="",1,0))</f>
        <v/>
      </c>
      <c r="P138" s="17" t="str">
        <f>IF(OR(TEXT(P$13,"ddd")="Sun",P$13="",$D138=""),"",IF('Leave Planner'!N139="",1,0))</f>
        <v/>
      </c>
      <c r="Q138" s="17" t="str">
        <f>IF(OR(TEXT(Q$13,"ddd")="Sun",Q$13="",$D138=""),"",IF('Leave Planner'!O139="",1,0))</f>
        <v/>
      </c>
      <c r="R138" s="17" t="str">
        <f>IF(OR(TEXT(R$13,"ddd")="Sun",R$13="",$D138=""),"",IF('Leave Planner'!P139="",1,0))</f>
        <v/>
      </c>
      <c r="S138" s="17" t="str">
        <f>IF(OR(TEXT(S$13,"ddd")="Sun",S$13="",$D138=""),"",IF('Leave Planner'!Q139="",1,0))</f>
        <v/>
      </c>
      <c r="T138" s="17" t="str">
        <f>IF(OR(TEXT(T$13,"ddd")="Sun",T$13="",$D138=""),"",IF('Leave Planner'!R139="",1,0))</f>
        <v/>
      </c>
      <c r="U138" s="17" t="str">
        <f>IF(OR(TEXT(U$13,"ddd")="Sun",U$13="",$D138=""),"",IF('Leave Planner'!S139="",1,0))</f>
        <v/>
      </c>
      <c r="V138" s="17" t="str">
        <f>IF(OR(TEXT(V$13,"ddd")="Sun",V$13="",$D138=""),"",IF('Leave Planner'!T139="",1,0))</f>
        <v/>
      </c>
      <c r="W138" s="17" t="str">
        <f>IF(OR(TEXT(W$13,"ddd")="Sun",W$13="",$D138=""),"",IF('Leave Planner'!U139="",1,0))</f>
        <v/>
      </c>
      <c r="X138" s="17" t="str">
        <f>IF(OR(TEXT(X$13,"ddd")="Sun",X$13="",$D138=""),"",IF('Leave Planner'!V139="",1,0))</f>
        <v/>
      </c>
      <c r="Y138" s="17" t="str">
        <f>IF(OR(TEXT(Y$13,"ddd")="Sun",Y$13="",$D138=""),"",IF('Leave Planner'!W139="",1,0))</f>
        <v/>
      </c>
      <c r="Z138" s="17" t="str">
        <f>IF(OR(TEXT(Z$13,"ddd")="Sun",Z$13="",$D138=""),"",IF('Leave Planner'!X139="",1,0))</f>
        <v/>
      </c>
      <c r="AA138" s="17" t="str">
        <f>IF(OR(TEXT(AA$13,"ddd")="Sun",AA$13="",$D138=""),"",IF('Leave Planner'!Y139="",1,0))</f>
        <v/>
      </c>
      <c r="AB138" s="17" t="str">
        <f>IF(OR(TEXT(AB$13,"ddd")="Sun",AB$13="",$D138=""),"",IF('Leave Planner'!Z139="",1,0))</f>
        <v/>
      </c>
      <c r="AC138" s="17" t="str">
        <f>IF(OR(TEXT(AC$13,"ddd")="Sun",AC$13="",$D138=""),"",IF('Leave Planner'!AA139="",1,0))</f>
        <v/>
      </c>
      <c r="AD138" s="17" t="str">
        <f>IF(OR(TEXT(AD$13,"ddd")="Sun",AD$13="",$D138=""),"",IF('Leave Planner'!AB139="",1,0))</f>
        <v/>
      </c>
      <c r="AE138" s="17" t="str">
        <f>IF(OR(TEXT(AE$13,"ddd")="Sun",AE$13="",$D138=""),"",IF('Leave Planner'!AC139="",1,0))</f>
        <v/>
      </c>
      <c r="AF138" s="17" t="str">
        <f>IF(OR(TEXT(AF$13,"ddd")="Sun",AF$13="",$D138=""),"",IF('Leave Planner'!AD139="",1,0))</f>
        <v/>
      </c>
      <c r="AG138" s="17" t="str">
        <f>IF(OR(TEXT(AG$13,"ddd")="Sun",AG$13="",$D138=""),"",IF('Leave Planner'!AE139="",1,0))</f>
        <v/>
      </c>
      <c r="AH138" s="17" t="str">
        <f>IF(OR(TEXT(AH$13,"ddd")="Sun",AH$13="",$D138=""),"",IF('Leave Planner'!AF139="",1,0))</f>
        <v/>
      </c>
      <c r="AI138" s="17" t="str">
        <f>IF(OR(TEXT(AI$13,"ddd")="Sun",AI$13="",$D138=""),"",IF('Leave Planner'!AG139="",1,0))</f>
        <v/>
      </c>
      <c r="AJ138" s="17" t="str">
        <f>IF(OR(TEXT(AJ$13,"ddd")="Sun",AJ$13="",$D138=""),"",IF('Leave Planner'!AH139="",1,0))</f>
        <v/>
      </c>
    </row>
    <row r="139" spans="2:36" x14ac:dyDescent="0.75">
      <c r="B139" s="15"/>
      <c r="C139" s="22"/>
      <c r="D139" s="22"/>
      <c r="E139" s="42" t="str">
        <f t="shared" si="6"/>
        <v/>
      </c>
      <c r="F139" s="17" t="str">
        <f>IF(OR(TEXT(F$13,"ddd")="Sun",F$13="",$D139=""),"",IF('Leave Planner'!D140="",1,0))</f>
        <v/>
      </c>
      <c r="G139" s="17" t="str">
        <f>IF(OR(TEXT(G$13,"ddd")="Sun",G$13="",$D139=""),"",IF('Leave Planner'!E140="",1,0))</f>
        <v/>
      </c>
      <c r="H139" s="17" t="str">
        <f>IF(OR(TEXT(H$13,"ddd")="Sun",H$13="",$D139=""),"",IF('Leave Planner'!F140="",1,0))</f>
        <v/>
      </c>
      <c r="I139" s="17" t="str">
        <f>IF(OR(TEXT(I$13,"ddd")="Sun",I$13="",$D139=""),"",IF('Leave Planner'!G140="",1,0))</f>
        <v/>
      </c>
      <c r="J139" s="17" t="str">
        <f>IF(OR(TEXT(J$13,"ddd")="Sun",J$13="",$D139=""),"",IF('Leave Planner'!H140="",1,0))</f>
        <v/>
      </c>
      <c r="K139" s="17" t="str">
        <f>IF(OR(TEXT(K$13,"ddd")="Sun",K$13="",$D139=""),"",IF('Leave Planner'!I140="",1,0))</f>
        <v/>
      </c>
      <c r="L139" s="17" t="str">
        <f>IF(OR(TEXT(L$13,"ddd")="Sun",L$13="",$D139=""),"",IF('Leave Planner'!J140="",1,0))</f>
        <v/>
      </c>
      <c r="M139" s="17" t="str">
        <f>IF(OR(TEXT(M$13,"ddd")="Sun",M$13="",$D139=""),"",IF('Leave Planner'!K140="",1,0))</f>
        <v/>
      </c>
      <c r="N139" s="17" t="str">
        <f>IF(OR(TEXT(N$13,"ddd")="Sun",N$13="",$D139=""),"",IF('Leave Planner'!L140="",1,0))</f>
        <v/>
      </c>
      <c r="O139" s="17" t="str">
        <f>IF(OR(TEXT(O$13,"ddd")="Sun",O$13="",$D139=""),"",IF('Leave Planner'!M140="",1,0))</f>
        <v/>
      </c>
      <c r="P139" s="17" t="str">
        <f>IF(OR(TEXT(P$13,"ddd")="Sun",P$13="",$D139=""),"",IF('Leave Planner'!N140="",1,0))</f>
        <v/>
      </c>
      <c r="Q139" s="17" t="str">
        <f>IF(OR(TEXT(Q$13,"ddd")="Sun",Q$13="",$D139=""),"",IF('Leave Planner'!O140="",1,0))</f>
        <v/>
      </c>
      <c r="R139" s="17" t="str">
        <f>IF(OR(TEXT(R$13,"ddd")="Sun",R$13="",$D139=""),"",IF('Leave Planner'!P140="",1,0))</f>
        <v/>
      </c>
      <c r="S139" s="17" t="str">
        <f>IF(OR(TEXT(S$13,"ddd")="Sun",S$13="",$D139=""),"",IF('Leave Planner'!Q140="",1,0))</f>
        <v/>
      </c>
      <c r="T139" s="17" t="str">
        <f>IF(OR(TEXT(T$13,"ddd")="Sun",T$13="",$D139=""),"",IF('Leave Planner'!R140="",1,0))</f>
        <v/>
      </c>
      <c r="U139" s="17" t="str">
        <f>IF(OR(TEXT(U$13,"ddd")="Sun",U$13="",$D139=""),"",IF('Leave Planner'!S140="",1,0))</f>
        <v/>
      </c>
      <c r="V139" s="17" t="str">
        <f>IF(OR(TEXT(V$13,"ddd")="Sun",V$13="",$D139=""),"",IF('Leave Planner'!T140="",1,0))</f>
        <v/>
      </c>
      <c r="W139" s="17" t="str">
        <f>IF(OR(TEXT(W$13,"ddd")="Sun",W$13="",$D139=""),"",IF('Leave Planner'!U140="",1,0))</f>
        <v/>
      </c>
      <c r="X139" s="17" t="str">
        <f>IF(OR(TEXT(X$13,"ddd")="Sun",X$13="",$D139=""),"",IF('Leave Planner'!V140="",1,0))</f>
        <v/>
      </c>
      <c r="Y139" s="17" t="str">
        <f>IF(OR(TEXT(Y$13,"ddd")="Sun",Y$13="",$D139=""),"",IF('Leave Planner'!W140="",1,0))</f>
        <v/>
      </c>
      <c r="Z139" s="17" t="str">
        <f>IF(OR(TEXT(Z$13,"ddd")="Sun",Z$13="",$D139=""),"",IF('Leave Planner'!X140="",1,0))</f>
        <v/>
      </c>
      <c r="AA139" s="17" t="str">
        <f>IF(OR(TEXT(AA$13,"ddd")="Sun",AA$13="",$D139=""),"",IF('Leave Planner'!Y140="",1,0))</f>
        <v/>
      </c>
      <c r="AB139" s="17" t="str">
        <f>IF(OR(TEXT(AB$13,"ddd")="Sun",AB$13="",$D139=""),"",IF('Leave Planner'!Z140="",1,0))</f>
        <v/>
      </c>
      <c r="AC139" s="17" t="str">
        <f>IF(OR(TEXT(AC$13,"ddd")="Sun",AC$13="",$D139=""),"",IF('Leave Planner'!AA140="",1,0))</f>
        <v/>
      </c>
      <c r="AD139" s="17" t="str">
        <f>IF(OR(TEXT(AD$13,"ddd")="Sun",AD$13="",$D139=""),"",IF('Leave Planner'!AB140="",1,0))</f>
        <v/>
      </c>
      <c r="AE139" s="17" t="str">
        <f>IF(OR(TEXT(AE$13,"ddd")="Sun",AE$13="",$D139=""),"",IF('Leave Planner'!AC140="",1,0))</f>
        <v/>
      </c>
      <c r="AF139" s="17" t="str">
        <f>IF(OR(TEXT(AF$13,"ddd")="Sun",AF$13="",$D139=""),"",IF('Leave Planner'!AD140="",1,0))</f>
        <v/>
      </c>
      <c r="AG139" s="17" t="str">
        <f>IF(OR(TEXT(AG$13,"ddd")="Sun",AG$13="",$D139=""),"",IF('Leave Planner'!AE140="",1,0))</f>
        <v/>
      </c>
      <c r="AH139" s="17" t="str">
        <f>IF(OR(TEXT(AH$13,"ddd")="Sun",AH$13="",$D139=""),"",IF('Leave Planner'!AF140="",1,0))</f>
        <v/>
      </c>
      <c r="AI139" s="17" t="str">
        <f>IF(OR(TEXT(AI$13,"ddd")="Sun",AI$13="",$D139=""),"",IF('Leave Planner'!AG140="",1,0))</f>
        <v/>
      </c>
      <c r="AJ139" s="17" t="str">
        <f>IF(OR(TEXT(AJ$13,"ddd")="Sun",AJ$13="",$D139=""),"",IF('Leave Planner'!AH140="",1,0))</f>
        <v/>
      </c>
    </row>
    <row r="140" spans="2:36" x14ac:dyDescent="0.75">
      <c r="B140" s="15"/>
      <c r="C140" s="22"/>
      <c r="D140" s="22"/>
      <c r="E140" s="42" t="str">
        <f t="shared" si="6"/>
        <v/>
      </c>
      <c r="F140" s="17" t="str">
        <f>IF(OR(TEXT(F$13,"ddd")="Sun",F$13="",$D140=""),"",IF('Leave Planner'!D141="",1,0))</f>
        <v/>
      </c>
      <c r="G140" s="17" t="str">
        <f>IF(OR(TEXT(G$13,"ddd")="Sun",G$13="",$D140=""),"",IF('Leave Planner'!E141="",1,0))</f>
        <v/>
      </c>
      <c r="H140" s="17" t="str">
        <f>IF(OR(TEXT(H$13,"ddd")="Sun",H$13="",$D140=""),"",IF('Leave Planner'!F141="",1,0))</f>
        <v/>
      </c>
      <c r="I140" s="17" t="str">
        <f>IF(OR(TEXT(I$13,"ddd")="Sun",I$13="",$D140=""),"",IF('Leave Planner'!G141="",1,0))</f>
        <v/>
      </c>
      <c r="J140" s="17" t="str">
        <f>IF(OR(TEXT(J$13,"ddd")="Sun",J$13="",$D140=""),"",IF('Leave Planner'!H141="",1,0))</f>
        <v/>
      </c>
      <c r="K140" s="17" t="str">
        <f>IF(OR(TEXT(K$13,"ddd")="Sun",K$13="",$D140=""),"",IF('Leave Planner'!I141="",1,0))</f>
        <v/>
      </c>
      <c r="L140" s="17" t="str">
        <f>IF(OR(TEXT(L$13,"ddd")="Sun",L$13="",$D140=""),"",IF('Leave Planner'!J141="",1,0))</f>
        <v/>
      </c>
      <c r="M140" s="17" t="str">
        <f>IF(OR(TEXT(M$13,"ddd")="Sun",M$13="",$D140=""),"",IF('Leave Planner'!K141="",1,0))</f>
        <v/>
      </c>
      <c r="N140" s="17" t="str">
        <f>IF(OR(TEXT(N$13,"ddd")="Sun",N$13="",$D140=""),"",IF('Leave Planner'!L141="",1,0))</f>
        <v/>
      </c>
      <c r="O140" s="17" t="str">
        <f>IF(OR(TEXT(O$13,"ddd")="Sun",O$13="",$D140=""),"",IF('Leave Planner'!M141="",1,0))</f>
        <v/>
      </c>
      <c r="P140" s="17" t="str">
        <f>IF(OR(TEXT(P$13,"ddd")="Sun",P$13="",$D140=""),"",IF('Leave Planner'!N141="",1,0))</f>
        <v/>
      </c>
      <c r="Q140" s="17" t="str">
        <f>IF(OR(TEXT(Q$13,"ddd")="Sun",Q$13="",$D140=""),"",IF('Leave Planner'!O141="",1,0))</f>
        <v/>
      </c>
      <c r="R140" s="17" t="str">
        <f>IF(OR(TEXT(R$13,"ddd")="Sun",R$13="",$D140=""),"",IF('Leave Planner'!P141="",1,0))</f>
        <v/>
      </c>
      <c r="S140" s="17" t="str">
        <f>IF(OR(TEXT(S$13,"ddd")="Sun",S$13="",$D140=""),"",IF('Leave Planner'!Q141="",1,0))</f>
        <v/>
      </c>
      <c r="T140" s="17" t="str">
        <f>IF(OR(TEXT(T$13,"ddd")="Sun",T$13="",$D140=""),"",IF('Leave Planner'!R141="",1,0))</f>
        <v/>
      </c>
      <c r="U140" s="17" t="str">
        <f>IF(OR(TEXT(U$13,"ddd")="Sun",U$13="",$D140=""),"",IF('Leave Planner'!S141="",1,0))</f>
        <v/>
      </c>
      <c r="V140" s="17" t="str">
        <f>IF(OR(TEXT(V$13,"ddd")="Sun",V$13="",$D140=""),"",IF('Leave Planner'!T141="",1,0))</f>
        <v/>
      </c>
      <c r="W140" s="17" t="str">
        <f>IF(OR(TEXT(W$13,"ddd")="Sun",W$13="",$D140=""),"",IF('Leave Planner'!U141="",1,0))</f>
        <v/>
      </c>
      <c r="X140" s="17" t="str">
        <f>IF(OR(TEXT(X$13,"ddd")="Sun",X$13="",$D140=""),"",IF('Leave Planner'!V141="",1,0))</f>
        <v/>
      </c>
      <c r="Y140" s="17" t="str">
        <f>IF(OR(TEXT(Y$13,"ddd")="Sun",Y$13="",$D140=""),"",IF('Leave Planner'!W141="",1,0))</f>
        <v/>
      </c>
      <c r="Z140" s="17" t="str">
        <f>IF(OR(TEXT(Z$13,"ddd")="Sun",Z$13="",$D140=""),"",IF('Leave Planner'!X141="",1,0))</f>
        <v/>
      </c>
      <c r="AA140" s="17" t="str">
        <f>IF(OR(TEXT(AA$13,"ddd")="Sun",AA$13="",$D140=""),"",IF('Leave Planner'!Y141="",1,0))</f>
        <v/>
      </c>
      <c r="AB140" s="17" t="str">
        <f>IF(OR(TEXT(AB$13,"ddd")="Sun",AB$13="",$D140=""),"",IF('Leave Planner'!Z141="",1,0))</f>
        <v/>
      </c>
      <c r="AC140" s="17" t="str">
        <f>IF(OR(TEXT(AC$13,"ddd")="Sun",AC$13="",$D140=""),"",IF('Leave Planner'!AA141="",1,0))</f>
        <v/>
      </c>
      <c r="AD140" s="17" t="str">
        <f>IF(OR(TEXT(AD$13,"ddd")="Sun",AD$13="",$D140=""),"",IF('Leave Planner'!AB141="",1,0))</f>
        <v/>
      </c>
      <c r="AE140" s="17" t="str">
        <f>IF(OR(TEXT(AE$13,"ddd")="Sun",AE$13="",$D140=""),"",IF('Leave Planner'!AC141="",1,0))</f>
        <v/>
      </c>
      <c r="AF140" s="17" t="str">
        <f>IF(OR(TEXT(AF$13,"ddd")="Sun",AF$13="",$D140=""),"",IF('Leave Planner'!AD141="",1,0))</f>
        <v/>
      </c>
      <c r="AG140" s="17" t="str">
        <f>IF(OR(TEXT(AG$13,"ddd")="Sun",AG$13="",$D140=""),"",IF('Leave Planner'!AE141="",1,0))</f>
        <v/>
      </c>
      <c r="AH140" s="17" t="str">
        <f>IF(OR(TEXT(AH$13,"ddd")="Sun",AH$13="",$D140=""),"",IF('Leave Planner'!AF141="",1,0))</f>
        <v/>
      </c>
      <c r="AI140" s="17" t="str">
        <f>IF(OR(TEXT(AI$13,"ddd")="Sun",AI$13="",$D140=""),"",IF('Leave Planner'!AG141="",1,0))</f>
        <v/>
      </c>
      <c r="AJ140" s="17" t="str">
        <f>IF(OR(TEXT(AJ$13,"ddd")="Sun",AJ$13="",$D140=""),"",IF('Leave Planner'!AH141="",1,0))</f>
        <v/>
      </c>
    </row>
    <row r="141" spans="2:36" x14ac:dyDescent="0.75">
      <c r="B141" s="15"/>
      <c r="C141" s="22"/>
      <c r="D141" s="22"/>
      <c r="E141" s="42" t="str">
        <f t="shared" si="6"/>
        <v/>
      </c>
      <c r="F141" s="17" t="str">
        <f>IF(OR(TEXT(F$13,"ddd")="Sun",F$13="",$D141=""),"",IF('Leave Planner'!D142="",1,0))</f>
        <v/>
      </c>
      <c r="G141" s="17" t="str">
        <f>IF(OR(TEXT(G$13,"ddd")="Sun",G$13="",$D141=""),"",IF('Leave Planner'!E142="",1,0))</f>
        <v/>
      </c>
      <c r="H141" s="17" t="str">
        <f>IF(OR(TEXT(H$13,"ddd")="Sun",H$13="",$D141=""),"",IF('Leave Planner'!F142="",1,0))</f>
        <v/>
      </c>
      <c r="I141" s="17" t="str">
        <f>IF(OR(TEXT(I$13,"ddd")="Sun",I$13="",$D141=""),"",IF('Leave Planner'!G142="",1,0))</f>
        <v/>
      </c>
      <c r="J141" s="17" t="str">
        <f>IF(OR(TEXT(J$13,"ddd")="Sun",J$13="",$D141=""),"",IF('Leave Planner'!H142="",1,0))</f>
        <v/>
      </c>
      <c r="K141" s="17" t="str">
        <f>IF(OR(TEXT(K$13,"ddd")="Sun",K$13="",$D141=""),"",IF('Leave Planner'!I142="",1,0))</f>
        <v/>
      </c>
      <c r="L141" s="17" t="str">
        <f>IF(OR(TEXT(L$13,"ddd")="Sun",L$13="",$D141=""),"",IF('Leave Planner'!J142="",1,0))</f>
        <v/>
      </c>
      <c r="M141" s="17" t="str">
        <f>IF(OR(TEXT(M$13,"ddd")="Sun",M$13="",$D141=""),"",IF('Leave Planner'!K142="",1,0))</f>
        <v/>
      </c>
      <c r="N141" s="17" t="str">
        <f>IF(OR(TEXT(N$13,"ddd")="Sun",N$13="",$D141=""),"",IF('Leave Planner'!L142="",1,0))</f>
        <v/>
      </c>
      <c r="O141" s="17" t="str">
        <f>IF(OR(TEXT(O$13,"ddd")="Sun",O$13="",$D141=""),"",IF('Leave Planner'!M142="",1,0))</f>
        <v/>
      </c>
      <c r="P141" s="17" t="str">
        <f>IF(OR(TEXT(P$13,"ddd")="Sun",P$13="",$D141=""),"",IF('Leave Planner'!N142="",1,0))</f>
        <v/>
      </c>
      <c r="Q141" s="17" t="str">
        <f>IF(OR(TEXT(Q$13,"ddd")="Sun",Q$13="",$D141=""),"",IF('Leave Planner'!O142="",1,0))</f>
        <v/>
      </c>
      <c r="R141" s="17" t="str">
        <f>IF(OR(TEXT(R$13,"ddd")="Sun",R$13="",$D141=""),"",IF('Leave Planner'!P142="",1,0))</f>
        <v/>
      </c>
      <c r="S141" s="17" t="str">
        <f>IF(OR(TEXT(S$13,"ddd")="Sun",S$13="",$D141=""),"",IF('Leave Planner'!Q142="",1,0))</f>
        <v/>
      </c>
      <c r="T141" s="17" t="str">
        <f>IF(OR(TEXT(T$13,"ddd")="Sun",T$13="",$D141=""),"",IF('Leave Planner'!R142="",1,0))</f>
        <v/>
      </c>
      <c r="U141" s="17" t="str">
        <f>IF(OR(TEXT(U$13,"ddd")="Sun",U$13="",$D141=""),"",IF('Leave Planner'!S142="",1,0))</f>
        <v/>
      </c>
      <c r="V141" s="17" t="str">
        <f>IF(OR(TEXT(V$13,"ddd")="Sun",V$13="",$D141=""),"",IF('Leave Planner'!T142="",1,0))</f>
        <v/>
      </c>
      <c r="W141" s="17" t="str">
        <f>IF(OR(TEXT(W$13,"ddd")="Sun",W$13="",$D141=""),"",IF('Leave Planner'!U142="",1,0))</f>
        <v/>
      </c>
      <c r="X141" s="17" t="str">
        <f>IF(OR(TEXT(X$13,"ddd")="Sun",X$13="",$D141=""),"",IF('Leave Planner'!V142="",1,0))</f>
        <v/>
      </c>
      <c r="Y141" s="17" t="str">
        <f>IF(OR(TEXT(Y$13,"ddd")="Sun",Y$13="",$D141=""),"",IF('Leave Planner'!W142="",1,0))</f>
        <v/>
      </c>
      <c r="Z141" s="17" t="str">
        <f>IF(OR(TEXT(Z$13,"ddd")="Sun",Z$13="",$D141=""),"",IF('Leave Planner'!X142="",1,0))</f>
        <v/>
      </c>
      <c r="AA141" s="17" t="str">
        <f>IF(OR(TEXT(AA$13,"ddd")="Sun",AA$13="",$D141=""),"",IF('Leave Planner'!Y142="",1,0))</f>
        <v/>
      </c>
      <c r="AB141" s="17" t="str">
        <f>IF(OR(TEXT(AB$13,"ddd")="Sun",AB$13="",$D141=""),"",IF('Leave Planner'!Z142="",1,0))</f>
        <v/>
      </c>
      <c r="AC141" s="17" t="str">
        <f>IF(OR(TEXT(AC$13,"ddd")="Sun",AC$13="",$D141=""),"",IF('Leave Planner'!AA142="",1,0))</f>
        <v/>
      </c>
      <c r="AD141" s="17" t="str">
        <f>IF(OR(TEXT(AD$13,"ddd")="Sun",AD$13="",$D141=""),"",IF('Leave Planner'!AB142="",1,0))</f>
        <v/>
      </c>
      <c r="AE141" s="17" t="str">
        <f>IF(OR(TEXT(AE$13,"ddd")="Sun",AE$13="",$D141=""),"",IF('Leave Planner'!AC142="",1,0))</f>
        <v/>
      </c>
      <c r="AF141" s="17" t="str">
        <f>IF(OR(TEXT(AF$13,"ddd")="Sun",AF$13="",$D141=""),"",IF('Leave Planner'!AD142="",1,0))</f>
        <v/>
      </c>
      <c r="AG141" s="17" t="str">
        <f>IF(OR(TEXT(AG$13,"ddd")="Sun",AG$13="",$D141=""),"",IF('Leave Planner'!AE142="",1,0))</f>
        <v/>
      </c>
      <c r="AH141" s="17" t="str">
        <f>IF(OR(TEXT(AH$13,"ddd")="Sun",AH$13="",$D141=""),"",IF('Leave Planner'!AF142="",1,0))</f>
        <v/>
      </c>
      <c r="AI141" s="17" t="str">
        <f>IF(OR(TEXT(AI$13,"ddd")="Sun",AI$13="",$D141=""),"",IF('Leave Planner'!AG142="",1,0))</f>
        <v/>
      </c>
      <c r="AJ141" s="17" t="str">
        <f>IF(OR(TEXT(AJ$13,"ddd")="Sun",AJ$13="",$D141=""),"",IF('Leave Planner'!AH142="",1,0))</f>
        <v/>
      </c>
    </row>
    <row r="142" spans="2:36" x14ac:dyDescent="0.75">
      <c r="B142" s="15"/>
      <c r="C142" s="22"/>
      <c r="D142" s="22"/>
      <c r="E142" s="42" t="str">
        <f t="shared" si="6"/>
        <v/>
      </c>
      <c r="F142" s="17" t="str">
        <f>IF(OR(TEXT(F$13,"ddd")="Sun",F$13="",$D142=""),"",IF('Leave Planner'!D143="",1,0))</f>
        <v/>
      </c>
      <c r="G142" s="17" t="str">
        <f>IF(OR(TEXT(G$13,"ddd")="Sun",G$13="",$D142=""),"",IF('Leave Planner'!E143="",1,0))</f>
        <v/>
      </c>
      <c r="H142" s="17" t="str">
        <f>IF(OR(TEXT(H$13,"ddd")="Sun",H$13="",$D142=""),"",IF('Leave Planner'!F143="",1,0))</f>
        <v/>
      </c>
      <c r="I142" s="17" t="str">
        <f>IF(OR(TEXT(I$13,"ddd")="Sun",I$13="",$D142=""),"",IF('Leave Planner'!G143="",1,0))</f>
        <v/>
      </c>
      <c r="J142" s="17" t="str">
        <f>IF(OR(TEXT(J$13,"ddd")="Sun",J$13="",$D142=""),"",IF('Leave Planner'!H143="",1,0))</f>
        <v/>
      </c>
      <c r="K142" s="17" t="str">
        <f>IF(OR(TEXT(K$13,"ddd")="Sun",K$13="",$D142=""),"",IF('Leave Planner'!I143="",1,0))</f>
        <v/>
      </c>
      <c r="L142" s="17" t="str">
        <f>IF(OR(TEXT(L$13,"ddd")="Sun",L$13="",$D142=""),"",IF('Leave Planner'!J143="",1,0))</f>
        <v/>
      </c>
      <c r="M142" s="17" t="str">
        <f>IF(OR(TEXT(M$13,"ddd")="Sun",M$13="",$D142=""),"",IF('Leave Planner'!K143="",1,0))</f>
        <v/>
      </c>
      <c r="N142" s="17" t="str">
        <f>IF(OR(TEXT(N$13,"ddd")="Sun",N$13="",$D142=""),"",IF('Leave Planner'!L143="",1,0))</f>
        <v/>
      </c>
      <c r="O142" s="17" t="str">
        <f>IF(OR(TEXT(O$13,"ddd")="Sun",O$13="",$D142=""),"",IF('Leave Planner'!M143="",1,0))</f>
        <v/>
      </c>
      <c r="P142" s="17" t="str">
        <f>IF(OR(TEXT(P$13,"ddd")="Sun",P$13="",$D142=""),"",IF('Leave Planner'!N143="",1,0))</f>
        <v/>
      </c>
      <c r="Q142" s="17" t="str">
        <f>IF(OR(TEXT(Q$13,"ddd")="Sun",Q$13="",$D142=""),"",IF('Leave Planner'!O143="",1,0))</f>
        <v/>
      </c>
      <c r="R142" s="17" t="str">
        <f>IF(OR(TEXT(R$13,"ddd")="Sun",R$13="",$D142=""),"",IF('Leave Planner'!P143="",1,0))</f>
        <v/>
      </c>
      <c r="S142" s="17" t="str">
        <f>IF(OR(TEXT(S$13,"ddd")="Sun",S$13="",$D142=""),"",IF('Leave Planner'!Q143="",1,0))</f>
        <v/>
      </c>
      <c r="T142" s="17" t="str">
        <f>IF(OR(TEXT(T$13,"ddd")="Sun",T$13="",$D142=""),"",IF('Leave Planner'!R143="",1,0))</f>
        <v/>
      </c>
      <c r="U142" s="17" t="str">
        <f>IF(OR(TEXT(U$13,"ddd")="Sun",U$13="",$D142=""),"",IF('Leave Planner'!S143="",1,0))</f>
        <v/>
      </c>
      <c r="V142" s="17" t="str">
        <f>IF(OR(TEXT(V$13,"ddd")="Sun",V$13="",$D142=""),"",IF('Leave Planner'!T143="",1,0))</f>
        <v/>
      </c>
      <c r="W142" s="17" t="str">
        <f>IF(OR(TEXT(W$13,"ddd")="Sun",W$13="",$D142=""),"",IF('Leave Planner'!U143="",1,0))</f>
        <v/>
      </c>
      <c r="X142" s="17" t="str">
        <f>IF(OR(TEXT(X$13,"ddd")="Sun",X$13="",$D142=""),"",IF('Leave Planner'!V143="",1,0))</f>
        <v/>
      </c>
      <c r="Y142" s="17" t="str">
        <f>IF(OR(TEXT(Y$13,"ddd")="Sun",Y$13="",$D142=""),"",IF('Leave Planner'!W143="",1,0))</f>
        <v/>
      </c>
      <c r="Z142" s="17" t="str">
        <f>IF(OR(TEXT(Z$13,"ddd")="Sun",Z$13="",$D142=""),"",IF('Leave Planner'!X143="",1,0))</f>
        <v/>
      </c>
      <c r="AA142" s="17" t="str">
        <f>IF(OR(TEXT(AA$13,"ddd")="Sun",AA$13="",$D142=""),"",IF('Leave Planner'!Y143="",1,0))</f>
        <v/>
      </c>
      <c r="AB142" s="17" t="str">
        <f>IF(OR(TEXT(AB$13,"ddd")="Sun",AB$13="",$D142=""),"",IF('Leave Planner'!Z143="",1,0))</f>
        <v/>
      </c>
      <c r="AC142" s="17" t="str">
        <f>IF(OR(TEXT(AC$13,"ddd")="Sun",AC$13="",$D142=""),"",IF('Leave Planner'!AA143="",1,0))</f>
        <v/>
      </c>
      <c r="AD142" s="17" t="str">
        <f>IF(OR(TEXT(AD$13,"ddd")="Sun",AD$13="",$D142=""),"",IF('Leave Planner'!AB143="",1,0))</f>
        <v/>
      </c>
      <c r="AE142" s="17" t="str">
        <f>IF(OR(TEXT(AE$13,"ddd")="Sun",AE$13="",$D142=""),"",IF('Leave Planner'!AC143="",1,0))</f>
        <v/>
      </c>
      <c r="AF142" s="17" t="str">
        <f>IF(OR(TEXT(AF$13,"ddd")="Sun",AF$13="",$D142=""),"",IF('Leave Planner'!AD143="",1,0))</f>
        <v/>
      </c>
      <c r="AG142" s="17" t="str">
        <f>IF(OR(TEXT(AG$13,"ddd")="Sun",AG$13="",$D142=""),"",IF('Leave Planner'!AE143="",1,0))</f>
        <v/>
      </c>
      <c r="AH142" s="17" t="str">
        <f>IF(OR(TEXT(AH$13,"ddd")="Sun",AH$13="",$D142=""),"",IF('Leave Planner'!AF143="",1,0))</f>
        <v/>
      </c>
      <c r="AI142" s="17" t="str">
        <f>IF(OR(TEXT(AI$13,"ddd")="Sun",AI$13="",$D142=""),"",IF('Leave Planner'!AG143="",1,0))</f>
        <v/>
      </c>
      <c r="AJ142" s="17" t="str">
        <f>IF(OR(TEXT(AJ$13,"ddd")="Sun",AJ$13="",$D142=""),"",IF('Leave Planner'!AH143="",1,0))</f>
        <v/>
      </c>
    </row>
    <row r="143" spans="2:36" x14ac:dyDescent="0.75">
      <c r="B143" s="15"/>
      <c r="C143" s="22"/>
      <c r="D143" s="22"/>
      <c r="E143" s="42" t="str">
        <f t="shared" ref="E143:E206" si="7">IF(D143="","",COUNTIF(F143:AJ143,1))</f>
        <v/>
      </c>
      <c r="F143" s="17" t="str">
        <f>IF(OR(TEXT(F$13,"ddd")="Sun",F$13="",$D143=""),"",IF('Leave Planner'!D144="",1,0))</f>
        <v/>
      </c>
      <c r="G143" s="17" t="str">
        <f>IF(OR(TEXT(G$13,"ddd")="Sun",G$13="",$D143=""),"",IF('Leave Planner'!E144="",1,0))</f>
        <v/>
      </c>
      <c r="H143" s="17" t="str">
        <f>IF(OR(TEXT(H$13,"ddd")="Sun",H$13="",$D143=""),"",IF('Leave Planner'!F144="",1,0))</f>
        <v/>
      </c>
      <c r="I143" s="17" t="str">
        <f>IF(OR(TEXT(I$13,"ddd")="Sun",I$13="",$D143=""),"",IF('Leave Planner'!G144="",1,0))</f>
        <v/>
      </c>
      <c r="J143" s="17" t="str">
        <f>IF(OR(TEXT(J$13,"ddd")="Sun",J$13="",$D143=""),"",IF('Leave Planner'!H144="",1,0))</f>
        <v/>
      </c>
      <c r="K143" s="17" t="str">
        <f>IF(OR(TEXT(K$13,"ddd")="Sun",K$13="",$D143=""),"",IF('Leave Planner'!I144="",1,0))</f>
        <v/>
      </c>
      <c r="L143" s="17" t="str">
        <f>IF(OR(TEXT(L$13,"ddd")="Sun",L$13="",$D143=""),"",IF('Leave Planner'!J144="",1,0))</f>
        <v/>
      </c>
      <c r="M143" s="17" t="str">
        <f>IF(OR(TEXT(M$13,"ddd")="Sun",M$13="",$D143=""),"",IF('Leave Planner'!K144="",1,0))</f>
        <v/>
      </c>
      <c r="N143" s="17" t="str">
        <f>IF(OR(TEXT(N$13,"ddd")="Sun",N$13="",$D143=""),"",IF('Leave Planner'!L144="",1,0))</f>
        <v/>
      </c>
      <c r="O143" s="17" t="str">
        <f>IF(OR(TEXT(O$13,"ddd")="Sun",O$13="",$D143=""),"",IF('Leave Planner'!M144="",1,0))</f>
        <v/>
      </c>
      <c r="P143" s="17" t="str">
        <f>IF(OR(TEXT(P$13,"ddd")="Sun",P$13="",$D143=""),"",IF('Leave Planner'!N144="",1,0))</f>
        <v/>
      </c>
      <c r="Q143" s="17" t="str">
        <f>IF(OR(TEXT(Q$13,"ddd")="Sun",Q$13="",$D143=""),"",IF('Leave Planner'!O144="",1,0))</f>
        <v/>
      </c>
      <c r="R143" s="17" t="str">
        <f>IF(OR(TEXT(R$13,"ddd")="Sun",R$13="",$D143=""),"",IF('Leave Planner'!P144="",1,0))</f>
        <v/>
      </c>
      <c r="S143" s="17" t="str">
        <f>IF(OR(TEXT(S$13,"ddd")="Sun",S$13="",$D143=""),"",IF('Leave Planner'!Q144="",1,0))</f>
        <v/>
      </c>
      <c r="T143" s="17" t="str">
        <f>IF(OR(TEXT(T$13,"ddd")="Sun",T$13="",$D143=""),"",IF('Leave Planner'!R144="",1,0))</f>
        <v/>
      </c>
      <c r="U143" s="17" t="str">
        <f>IF(OR(TEXT(U$13,"ddd")="Sun",U$13="",$D143=""),"",IF('Leave Planner'!S144="",1,0))</f>
        <v/>
      </c>
      <c r="V143" s="17" t="str">
        <f>IF(OR(TEXT(V$13,"ddd")="Sun",V$13="",$D143=""),"",IF('Leave Planner'!T144="",1,0))</f>
        <v/>
      </c>
      <c r="W143" s="17" t="str">
        <f>IF(OR(TEXT(W$13,"ddd")="Sun",W$13="",$D143=""),"",IF('Leave Planner'!U144="",1,0))</f>
        <v/>
      </c>
      <c r="X143" s="17" t="str">
        <f>IF(OR(TEXT(X$13,"ddd")="Sun",X$13="",$D143=""),"",IF('Leave Planner'!V144="",1,0))</f>
        <v/>
      </c>
      <c r="Y143" s="17" t="str">
        <f>IF(OR(TEXT(Y$13,"ddd")="Sun",Y$13="",$D143=""),"",IF('Leave Planner'!W144="",1,0))</f>
        <v/>
      </c>
      <c r="Z143" s="17" t="str">
        <f>IF(OR(TEXT(Z$13,"ddd")="Sun",Z$13="",$D143=""),"",IF('Leave Planner'!X144="",1,0))</f>
        <v/>
      </c>
      <c r="AA143" s="17" t="str">
        <f>IF(OR(TEXT(AA$13,"ddd")="Sun",AA$13="",$D143=""),"",IF('Leave Planner'!Y144="",1,0))</f>
        <v/>
      </c>
      <c r="AB143" s="17" t="str">
        <f>IF(OR(TEXT(AB$13,"ddd")="Sun",AB$13="",$D143=""),"",IF('Leave Planner'!Z144="",1,0))</f>
        <v/>
      </c>
      <c r="AC143" s="17" t="str">
        <f>IF(OR(TEXT(AC$13,"ddd")="Sun",AC$13="",$D143=""),"",IF('Leave Planner'!AA144="",1,0))</f>
        <v/>
      </c>
      <c r="AD143" s="17" t="str">
        <f>IF(OR(TEXT(AD$13,"ddd")="Sun",AD$13="",$D143=""),"",IF('Leave Planner'!AB144="",1,0))</f>
        <v/>
      </c>
      <c r="AE143" s="17" t="str">
        <f>IF(OR(TEXT(AE$13,"ddd")="Sun",AE$13="",$D143=""),"",IF('Leave Planner'!AC144="",1,0))</f>
        <v/>
      </c>
      <c r="AF143" s="17" t="str">
        <f>IF(OR(TEXT(AF$13,"ddd")="Sun",AF$13="",$D143=""),"",IF('Leave Planner'!AD144="",1,0))</f>
        <v/>
      </c>
      <c r="AG143" s="17" t="str">
        <f>IF(OR(TEXT(AG$13,"ddd")="Sun",AG$13="",$D143=""),"",IF('Leave Planner'!AE144="",1,0))</f>
        <v/>
      </c>
      <c r="AH143" s="17" t="str">
        <f>IF(OR(TEXT(AH$13,"ddd")="Sun",AH$13="",$D143=""),"",IF('Leave Planner'!AF144="",1,0))</f>
        <v/>
      </c>
      <c r="AI143" s="17" t="str">
        <f>IF(OR(TEXT(AI$13,"ddd")="Sun",AI$13="",$D143=""),"",IF('Leave Planner'!AG144="",1,0))</f>
        <v/>
      </c>
      <c r="AJ143" s="17" t="str">
        <f>IF(OR(TEXT(AJ$13,"ddd")="Sun",AJ$13="",$D143=""),"",IF('Leave Planner'!AH144="",1,0))</f>
        <v/>
      </c>
    </row>
    <row r="144" spans="2:36" x14ac:dyDescent="0.75">
      <c r="B144" s="15"/>
      <c r="C144" s="22"/>
      <c r="D144" s="22"/>
      <c r="E144" s="42" t="str">
        <f t="shared" si="7"/>
        <v/>
      </c>
      <c r="F144" s="17" t="str">
        <f>IF(OR(TEXT(F$13,"ddd")="Sun",F$13="",$D144=""),"",IF('Leave Planner'!D145="",1,0))</f>
        <v/>
      </c>
      <c r="G144" s="17" t="str">
        <f>IF(OR(TEXT(G$13,"ddd")="Sun",G$13="",$D144=""),"",IF('Leave Planner'!E145="",1,0))</f>
        <v/>
      </c>
      <c r="H144" s="17" t="str">
        <f>IF(OR(TEXT(H$13,"ddd")="Sun",H$13="",$D144=""),"",IF('Leave Planner'!F145="",1,0))</f>
        <v/>
      </c>
      <c r="I144" s="17" t="str">
        <f>IF(OR(TEXT(I$13,"ddd")="Sun",I$13="",$D144=""),"",IF('Leave Planner'!G145="",1,0))</f>
        <v/>
      </c>
      <c r="J144" s="17" t="str">
        <f>IF(OR(TEXT(J$13,"ddd")="Sun",J$13="",$D144=""),"",IF('Leave Planner'!H145="",1,0))</f>
        <v/>
      </c>
      <c r="K144" s="17" t="str">
        <f>IF(OR(TEXT(K$13,"ddd")="Sun",K$13="",$D144=""),"",IF('Leave Planner'!I145="",1,0))</f>
        <v/>
      </c>
      <c r="L144" s="17" t="str">
        <f>IF(OR(TEXT(L$13,"ddd")="Sun",L$13="",$D144=""),"",IF('Leave Planner'!J145="",1,0))</f>
        <v/>
      </c>
      <c r="M144" s="17" t="str">
        <f>IF(OR(TEXT(M$13,"ddd")="Sun",M$13="",$D144=""),"",IF('Leave Planner'!K145="",1,0))</f>
        <v/>
      </c>
      <c r="N144" s="17" t="str">
        <f>IF(OR(TEXT(N$13,"ddd")="Sun",N$13="",$D144=""),"",IF('Leave Planner'!L145="",1,0))</f>
        <v/>
      </c>
      <c r="O144" s="17" t="str">
        <f>IF(OR(TEXT(O$13,"ddd")="Sun",O$13="",$D144=""),"",IF('Leave Planner'!M145="",1,0))</f>
        <v/>
      </c>
      <c r="P144" s="17" t="str">
        <f>IF(OR(TEXT(P$13,"ddd")="Sun",P$13="",$D144=""),"",IF('Leave Planner'!N145="",1,0))</f>
        <v/>
      </c>
      <c r="Q144" s="17" t="str">
        <f>IF(OR(TEXT(Q$13,"ddd")="Sun",Q$13="",$D144=""),"",IF('Leave Planner'!O145="",1,0))</f>
        <v/>
      </c>
      <c r="R144" s="17" t="str">
        <f>IF(OR(TEXT(R$13,"ddd")="Sun",R$13="",$D144=""),"",IF('Leave Planner'!P145="",1,0))</f>
        <v/>
      </c>
      <c r="S144" s="17" t="str">
        <f>IF(OR(TEXT(S$13,"ddd")="Sun",S$13="",$D144=""),"",IF('Leave Planner'!Q145="",1,0))</f>
        <v/>
      </c>
      <c r="T144" s="17" t="str">
        <f>IF(OR(TEXT(T$13,"ddd")="Sun",T$13="",$D144=""),"",IF('Leave Planner'!R145="",1,0))</f>
        <v/>
      </c>
      <c r="U144" s="17" t="str">
        <f>IF(OR(TEXT(U$13,"ddd")="Sun",U$13="",$D144=""),"",IF('Leave Planner'!S145="",1,0))</f>
        <v/>
      </c>
      <c r="V144" s="17" t="str">
        <f>IF(OR(TEXT(V$13,"ddd")="Sun",V$13="",$D144=""),"",IF('Leave Planner'!T145="",1,0))</f>
        <v/>
      </c>
      <c r="W144" s="17" t="str">
        <f>IF(OR(TEXT(W$13,"ddd")="Sun",W$13="",$D144=""),"",IF('Leave Planner'!U145="",1,0))</f>
        <v/>
      </c>
      <c r="X144" s="17" t="str">
        <f>IF(OR(TEXT(X$13,"ddd")="Sun",X$13="",$D144=""),"",IF('Leave Planner'!V145="",1,0))</f>
        <v/>
      </c>
      <c r="Y144" s="17" t="str">
        <f>IF(OR(TEXT(Y$13,"ddd")="Sun",Y$13="",$D144=""),"",IF('Leave Planner'!W145="",1,0))</f>
        <v/>
      </c>
      <c r="Z144" s="17" t="str">
        <f>IF(OR(TEXT(Z$13,"ddd")="Sun",Z$13="",$D144=""),"",IF('Leave Planner'!X145="",1,0))</f>
        <v/>
      </c>
      <c r="AA144" s="17" t="str">
        <f>IF(OR(TEXT(AA$13,"ddd")="Sun",AA$13="",$D144=""),"",IF('Leave Planner'!Y145="",1,0))</f>
        <v/>
      </c>
      <c r="AB144" s="17" t="str">
        <f>IF(OR(TEXT(AB$13,"ddd")="Sun",AB$13="",$D144=""),"",IF('Leave Planner'!Z145="",1,0))</f>
        <v/>
      </c>
      <c r="AC144" s="17" t="str">
        <f>IF(OR(TEXT(AC$13,"ddd")="Sun",AC$13="",$D144=""),"",IF('Leave Planner'!AA145="",1,0))</f>
        <v/>
      </c>
      <c r="AD144" s="17" t="str">
        <f>IF(OR(TEXT(AD$13,"ddd")="Sun",AD$13="",$D144=""),"",IF('Leave Planner'!AB145="",1,0))</f>
        <v/>
      </c>
      <c r="AE144" s="17" t="str">
        <f>IF(OR(TEXT(AE$13,"ddd")="Sun",AE$13="",$D144=""),"",IF('Leave Planner'!AC145="",1,0))</f>
        <v/>
      </c>
      <c r="AF144" s="17" t="str">
        <f>IF(OR(TEXT(AF$13,"ddd")="Sun",AF$13="",$D144=""),"",IF('Leave Planner'!AD145="",1,0))</f>
        <v/>
      </c>
      <c r="AG144" s="17" t="str">
        <f>IF(OR(TEXT(AG$13,"ddd")="Sun",AG$13="",$D144=""),"",IF('Leave Planner'!AE145="",1,0))</f>
        <v/>
      </c>
      <c r="AH144" s="17" t="str">
        <f>IF(OR(TEXT(AH$13,"ddd")="Sun",AH$13="",$D144=""),"",IF('Leave Planner'!AF145="",1,0))</f>
        <v/>
      </c>
      <c r="AI144" s="17" t="str">
        <f>IF(OR(TEXT(AI$13,"ddd")="Sun",AI$13="",$D144=""),"",IF('Leave Planner'!AG145="",1,0))</f>
        <v/>
      </c>
      <c r="AJ144" s="17" t="str">
        <f>IF(OR(TEXT(AJ$13,"ddd")="Sun",AJ$13="",$D144=""),"",IF('Leave Planner'!AH145="",1,0))</f>
        <v/>
      </c>
    </row>
    <row r="145" spans="2:36" x14ac:dyDescent="0.75">
      <c r="B145" s="15"/>
      <c r="C145" s="22"/>
      <c r="D145" s="22"/>
      <c r="E145" s="42" t="str">
        <f t="shared" si="7"/>
        <v/>
      </c>
      <c r="F145" s="17" t="str">
        <f>IF(OR(TEXT(F$13,"ddd")="Sun",F$13="",$D145=""),"",IF('Leave Planner'!D146="",1,0))</f>
        <v/>
      </c>
      <c r="G145" s="17" t="str">
        <f>IF(OR(TEXT(G$13,"ddd")="Sun",G$13="",$D145=""),"",IF('Leave Planner'!E146="",1,0))</f>
        <v/>
      </c>
      <c r="H145" s="17" t="str">
        <f>IF(OR(TEXT(H$13,"ddd")="Sun",H$13="",$D145=""),"",IF('Leave Planner'!F146="",1,0))</f>
        <v/>
      </c>
      <c r="I145" s="17" t="str">
        <f>IF(OR(TEXT(I$13,"ddd")="Sun",I$13="",$D145=""),"",IF('Leave Planner'!G146="",1,0))</f>
        <v/>
      </c>
      <c r="J145" s="17" t="str">
        <f>IF(OR(TEXT(J$13,"ddd")="Sun",J$13="",$D145=""),"",IF('Leave Planner'!H146="",1,0))</f>
        <v/>
      </c>
      <c r="K145" s="17" t="str">
        <f>IF(OR(TEXT(K$13,"ddd")="Sun",K$13="",$D145=""),"",IF('Leave Planner'!I146="",1,0))</f>
        <v/>
      </c>
      <c r="L145" s="17" t="str">
        <f>IF(OR(TEXT(L$13,"ddd")="Sun",L$13="",$D145=""),"",IF('Leave Planner'!J146="",1,0))</f>
        <v/>
      </c>
      <c r="M145" s="17" t="str">
        <f>IF(OR(TEXT(M$13,"ddd")="Sun",M$13="",$D145=""),"",IF('Leave Planner'!K146="",1,0))</f>
        <v/>
      </c>
      <c r="N145" s="17" t="str">
        <f>IF(OR(TEXT(N$13,"ddd")="Sun",N$13="",$D145=""),"",IF('Leave Planner'!L146="",1,0))</f>
        <v/>
      </c>
      <c r="O145" s="17" t="str">
        <f>IF(OR(TEXT(O$13,"ddd")="Sun",O$13="",$D145=""),"",IF('Leave Planner'!M146="",1,0))</f>
        <v/>
      </c>
      <c r="P145" s="17" t="str">
        <f>IF(OR(TEXT(P$13,"ddd")="Sun",P$13="",$D145=""),"",IF('Leave Planner'!N146="",1,0))</f>
        <v/>
      </c>
      <c r="Q145" s="17" t="str">
        <f>IF(OR(TEXT(Q$13,"ddd")="Sun",Q$13="",$D145=""),"",IF('Leave Planner'!O146="",1,0))</f>
        <v/>
      </c>
      <c r="R145" s="17" t="str">
        <f>IF(OR(TEXT(R$13,"ddd")="Sun",R$13="",$D145=""),"",IF('Leave Planner'!P146="",1,0))</f>
        <v/>
      </c>
      <c r="S145" s="17" t="str">
        <f>IF(OR(TEXT(S$13,"ddd")="Sun",S$13="",$D145=""),"",IF('Leave Planner'!Q146="",1,0))</f>
        <v/>
      </c>
      <c r="T145" s="17" t="str">
        <f>IF(OR(TEXT(T$13,"ddd")="Sun",T$13="",$D145=""),"",IF('Leave Planner'!R146="",1,0))</f>
        <v/>
      </c>
      <c r="U145" s="17" t="str">
        <f>IF(OR(TEXT(U$13,"ddd")="Sun",U$13="",$D145=""),"",IF('Leave Planner'!S146="",1,0))</f>
        <v/>
      </c>
      <c r="V145" s="17" t="str">
        <f>IF(OR(TEXT(V$13,"ddd")="Sun",V$13="",$D145=""),"",IF('Leave Planner'!T146="",1,0))</f>
        <v/>
      </c>
      <c r="W145" s="17" t="str">
        <f>IF(OR(TEXT(W$13,"ddd")="Sun",W$13="",$D145=""),"",IF('Leave Planner'!U146="",1,0))</f>
        <v/>
      </c>
      <c r="X145" s="17" t="str">
        <f>IF(OR(TEXT(X$13,"ddd")="Sun",X$13="",$D145=""),"",IF('Leave Planner'!V146="",1,0))</f>
        <v/>
      </c>
      <c r="Y145" s="17" t="str">
        <f>IF(OR(TEXT(Y$13,"ddd")="Sun",Y$13="",$D145=""),"",IF('Leave Planner'!W146="",1,0))</f>
        <v/>
      </c>
      <c r="Z145" s="17" t="str">
        <f>IF(OR(TEXT(Z$13,"ddd")="Sun",Z$13="",$D145=""),"",IF('Leave Planner'!X146="",1,0))</f>
        <v/>
      </c>
      <c r="AA145" s="17" t="str">
        <f>IF(OR(TEXT(AA$13,"ddd")="Sun",AA$13="",$D145=""),"",IF('Leave Planner'!Y146="",1,0))</f>
        <v/>
      </c>
      <c r="AB145" s="17" t="str">
        <f>IF(OR(TEXT(AB$13,"ddd")="Sun",AB$13="",$D145=""),"",IF('Leave Planner'!Z146="",1,0))</f>
        <v/>
      </c>
      <c r="AC145" s="17" t="str">
        <f>IF(OR(TEXT(AC$13,"ddd")="Sun",AC$13="",$D145=""),"",IF('Leave Planner'!AA146="",1,0))</f>
        <v/>
      </c>
      <c r="AD145" s="17" t="str">
        <f>IF(OR(TEXT(AD$13,"ddd")="Sun",AD$13="",$D145=""),"",IF('Leave Planner'!AB146="",1,0))</f>
        <v/>
      </c>
      <c r="AE145" s="17" t="str">
        <f>IF(OR(TEXT(AE$13,"ddd")="Sun",AE$13="",$D145=""),"",IF('Leave Planner'!AC146="",1,0))</f>
        <v/>
      </c>
      <c r="AF145" s="17" t="str">
        <f>IF(OR(TEXT(AF$13,"ddd")="Sun",AF$13="",$D145=""),"",IF('Leave Planner'!AD146="",1,0))</f>
        <v/>
      </c>
      <c r="AG145" s="17" t="str">
        <f>IF(OR(TEXT(AG$13,"ddd")="Sun",AG$13="",$D145=""),"",IF('Leave Planner'!AE146="",1,0))</f>
        <v/>
      </c>
      <c r="AH145" s="17" t="str">
        <f>IF(OR(TEXT(AH$13,"ddd")="Sun",AH$13="",$D145=""),"",IF('Leave Planner'!AF146="",1,0))</f>
        <v/>
      </c>
      <c r="AI145" s="17" t="str">
        <f>IF(OR(TEXT(AI$13,"ddd")="Sun",AI$13="",$D145=""),"",IF('Leave Planner'!AG146="",1,0))</f>
        <v/>
      </c>
      <c r="AJ145" s="17" t="str">
        <f>IF(OR(TEXT(AJ$13,"ddd")="Sun",AJ$13="",$D145=""),"",IF('Leave Planner'!AH146="",1,0))</f>
        <v/>
      </c>
    </row>
    <row r="146" spans="2:36" x14ac:dyDescent="0.75">
      <c r="B146" s="15"/>
      <c r="C146" s="22"/>
      <c r="D146" s="22"/>
      <c r="E146" s="42" t="str">
        <f t="shared" si="7"/>
        <v/>
      </c>
      <c r="F146" s="17" t="str">
        <f>IF(OR(TEXT(F$13,"ddd")="Sun",F$13="",$D146=""),"",IF('Leave Planner'!D147="",1,0))</f>
        <v/>
      </c>
      <c r="G146" s="17" t="str">
        <f>IF(OR(TEXT(G$13,"ddd")="Sun",G$13="",$D146=""),"",IF('Leave Planner'!E147="",1,0))</f>
        <v/>
      </c>
      <c r="H146" s="17" t="str">
        <f>IF(OR(TEXT(H$13,"ddd")="Sun",H$13="",$D146=""),"",IF('Leave Planner'!F147="",1,0))</f>
        <v/>
      </c>
      <c r="I146" s="17" t="str">
        <f>IF(OR(TEXT(I$13,"ddd")="Sun",I$13="",$D146=""),"",IF('Leave Planner'!G147="",1,0))</f>
        <v/>
      </c>
      <c r="J146" s="17" t="str">
        <f>IF(OR(TEXT(J$13,"ddd")="Sun",J$13="",$D146=""),"",IF('Leave Planner'!H147="",1,0))</f>
        <v/>
      </c>
      <c r="K146" s="17" t="str">
        <f>IF(OR(TEXT(K$13,"ddd")="Sun",K$13="",$D146=""),"",IF('Leave Planner'!I147="",1,0))</f>
        <v/>
      </c>
      <c r="L146" s="17" t="str">
        <f>IF(OR(TEXT(L$13,"ddd")="Sun",L$13="",$D146=""),"",IF('Leave Planner'!J147="",1,0))</f>
        <v/>
      </c>
      <c r="M146" s="17" t="str">
        <f>IF(OR(TEXT(M$13,"ddd")="Sun",M$13="",$D146=""),"",IF('Leave Planner'!K147="",1,0))</f>
        <v/>
      </c>
      <c r="N146" s="17" t="str">
        <f>IF(OR(TEXT(N$13,"ddd")="Sun",N$13="",$D146=""),"",IF('Leave Planner'!L147="",1,0))</f>
        <v/>
      </c>
      <c r="O146" s="17" t="str">
        <f>IF(OR(TEXT(O$13,"ddd")="Sun",O$13="",$D146=""),"",IF('Leave Planner'!M147="",1,0))</f>
        <v/>
      </c>
      <c r="P146" s="17" t="str">
        <f>IF(OR(TEXT(P$13,"ddd")="Sun",P$13="",$D146=""),"",IF('Leave Planner'!N147="",1,0))</f>
        <v/>
      </c>
      <c r="Q146" s="17" t="str">
        <f>IF(OR(TEXT(Q$13,"ddd")="Sun",Q$13="",$D146=""),"",IF('Leave Planner'!O147="",1,0))</f>
        <v/>
      </c>
      <c r="R146" s="17" t="str">
        <f>IF(OR(TEXT(R$13,"ddd")="Sun",R$13="",$D146=""),"",IF('Leave Planner'!P147="",1,0))</f>
        <v/>
      </c>
      <c r="S146" s="17" t="str">
        <f>IF(OR(TEXT(S$13,"ddd")="Sun",S$13="",$D146=""),"",IF('Leave Planner'!Q147="",1,0))</f>
        <v/>
      </c>
      <c r="T146" s="17" t="str">
        <f>IF(OR(TEXT(T$13,"ddd")="Sun",T$13="",$D146=""),"",IF('Leave Planner'!R147="",1,0))</f>
        <v/>
      </c>
      <c r="U146" s="17" t="str">
        <f>IF(OR(TEXT(U$13,"ddd")="Sun",U$13="",$D146=""),"",IF('Leave Planner'!S147="",1,0))</f>
        <v/>
      </c>
      <c r="V146" s="17" t="str">
        <f>IF(OR(TEXT(V$13,"ddd")="Sun",V$13="",$D146=""),"",IF('Leave Planner'!T147="",1,0))</f>
        <v/>
      </c>
      <c r="W146" s="17" t="str">
        <f>IF(OR(TEXT(W$13,"ddd")="Sun",W$13="",$D146=""),"",IF('Leave Planner'!U147="",1,0))</f>
        <v/>
      </c>
      <c r="X146" s="17" t="str">
        <f>IF(OR(TEXT(X$13,"ddd")="Sun",X$13="",$D146=""),"",IF('Leave Planner'!V147="",1,0))</f>
        <v/>
      </c>
      <c r="Y146" s="17" t="str">
        <f>IF(OR(TEXT(Y$13,"ddd")="Sun",Y$13="",$D146=""),"",IF('Leave Planner'!W147="",1,0))</f>
        <v/>
      </c>
      <c r="Z146" s="17" t="str">
        <f>IF(OR(TEXT(Z$13,"ddd")="Sun",Z$13="",$D146=""),"",IF('Leave Planner'!X147="",1,0))</f>
        <v/>
      </c>
      <c r="AA146" s="17" t="str">
        <f>IF(OR(TEXT(AA$13,"ddd")="Sun",AA$13="",$D146=""),"",IF('Leave Planner'!Y147="",1,0))</f>
        <v/>
      </c>
      <c r="AB146" s="17" t="str">
        <f>IF(OR(TEXT(AB$13,"ddd")="Sun",AB$13="",$D146=""),"",IF('Leave Planner'!Z147="",1,0))</f>
        <v/>
      </c>
      <c r="AC146" s="17" t="str">
        <f>IF(OR(TEXT(AC$13,"ddd")="Sun",AC$13="",$D146=""),"",IF('Leave Planner'!AA147="",1,0))</f>
        <v/>
      </c>
      <c r="AD146" s="17" t="str">
        <f>IF(OR(TEXT(AD$13,"ddd")="Sun",AD$13="",$D146=""),"",IF('Leave Planner'!AB147="",1,0))</f>
        <v/>
      </c>
      <c r="AE146" s="17" t="str">
        <f>IF(OR(TEXT(AE$13,"ddd")="Sun",AE$13="",$D146=""),"",IF('Leave Planner'!AC147="",1,0))</f>
        <v/>
      </c>
      <c r="AF146" s="17" t="str">
        <f>IF(OR(TEXT(AF$13,"ddd")="Sun",AF$13="",$D146=""),"",IF('Leave Planner'!AD147="",1,0))</f>
        <v/>
      </c>
      <c r="AG146" s="17" t="str">
        <f>IF(OR(TEXT(AG$13,"ddd")="Sun",AG$13="",$D146=""),"",IF('Leave Planner'!AE147="",1,0))</f>
        <v/>
      </c>
      <c r="AH146" s="17" t="str">
        <f>IF(OR(TEXT(AH$13,"ddd")="Sun",AH$13="",$D146=""),"",IF('Leave Planner'!AF147="",1,0))</f>
        <v/>
      </c>
      <c r="AI146" s="17" t="str">
        <f>IF(OR(TEXT(AI$13,"ddd")="Sun",AI$13="",$D146=""),"",IF('Leave Planner'!AG147="",1,0))</f>
        <v/>
      </c>
      <c r="AJ146" s="17" t="str">
        <f>IF(OR(TEXT(AJ$13,"ddd")="Sun",AJ$13="",$D146=""),"",IF('Leave Planner'!AH147="",1,0))</f>
        <v/>
      </c>
    </row>
    <row r="147" spans="2:36" x14ac:dyDescent="0.75">
      <c r="B147" s="15"/>
      <c r="C147" s="22"/>
      <c r="D147" s="22"/>
      <c r="E147" s="42" t="str">
        <f t="shared" si="7"/>
        <v/>
      </c>
      <c r="F147" s="17" t="str">
        <f>IF(OR(TEXT(F$13,"ddd")="Sun",F$13="",$D147=""),"",IF('Leave Planner'!D148="",1,0))</f>
        <v/>
      </c>
      <c r="G147" s="17" t="str">
        <f>IF(OR(TEXT(G$13,"ddd")="Sun",G$13="",$D147=""),"",IF('Leave Planner'!E148="",1,0))</f>
        <v/>
      </c>
      <c r="H147" s="17" t="str">
        <f>IF(OR(TEXT(H$13,"ddd")="Sun",H$13="",$D147=""),"",IF('Leave Planner'!F148="",1,0))</f>
        <v/>
      </c>
      <c r="I147" s="17" t="str">
        <f>IF(OR(TEXT(I$13,"ddd")="Sun",I$13="",$D147=""),"",IF('Leave Planner'!G148="",1,0))</f>
        <v/>
      </c>
      <c r="J147" s="17" t="str">
        <f>IF(OR(TEXT(J$13,"ddd")="Sun",J$13="",$D147=""),"",IF('Leave Planner'!H148="",1,0))</f>
        <v/>
      </c>
      <c r="K147" s="17" t="str">
        <f>IF(OR(TEXT(K$13,"ddd")="Sun",K$13="",$D147=""),"",IF('Leave Planner'!I148="",1,0))</f>
        <v/>
      </c>
      <c r="L147" s="17" t="str">
        <f>IF(OR(TEXT(L$13,"ddd")="Sun",L$13="",$D147=""),"",IF('Leave Planner'!J148="",1,0))</f>
        <v/>
      </c>
      <c r="M147" s="17" t="str">
        <f>IF(OR(TEXT(M$13,"ddd")="Sun",M$13="",$D147=""),"",IF('Leave Planner'!K148="",1,0))</f>
        <v/>
      </c>
      <c r="N147" s="17" t="str">
        <f>IF(OR(TEXT(N$13,"ddd")="Sun",N$13="",$D147=""),"",IF('Leave Planner'!L148="",1,0))</f>
        <v/>
      </c>
      <c r="O147" s="17" t="str">
        <f>IF(OR(TEXT(O$13,"ddd")="Sun",O$13="",$D147=""),"",IF('Leave Planner'!M148="",1,0))</f>
        <v/>
      </c>
      <c r="P147" s="17" t="str">
        <f>IF(OR(TEXT(P$13,"ddd")="Sun",P$13="",$D147=""),"",IF('Leave Planner'!N148="",1,0))</f>
        <v/>
      </c>
      <c r="Q147" s="17" t="str">
        <f>IF(OR(TEXT(Q$13,"ddd")="Sun",Q$13="",$D147=""),"",IF('Leave Planner'!O148="",1,0))</f>
        <v/>
      </c>
      <c r="R147" s="17" t="str">
        <f>IF(OR(TEXT(R$13,"ddd")="Sun",R$13="",$D147=""),"",IF('Leave Planner'!P148="",1,0))</f>
        <v/>
      </c>
      <c r="S147" s="17" t="str">
        <f>IF(OR(TEXT(S$13,"ddd")="Sun",S$13="",$D147=""),"",IF('Leave Planner'!Q148="",1,0))</f>
        <v/>
      </c>
      <c r="T147" s="17" t="str">
        <f>IF(OR(TEXT(T$13,"ddd")="Sun",T$13="",$D147=""),"",IF('Leave Planner'!R148="",1,0))</f>
        <v/>
      </c>
      <c r="U147" s="17" t="str">
        <f>IF(OR(TEXT(U$13,"ddd")="Sun",U$13="",$D147=""),"",IF('Leave Planner'!S148="",1,0))</f>
        <v/>
      </c>
      <c r="V147" s="17" t="str">
        <f>IF(OR(TEXT(V$13,"ddd")="Sun",V$13="",$D147=""),"",IF('Leave Planner'!T148="",1,0))</f>
        <v/>
      </c>
      <c r="W147" s="17" t="str">
        <f>IF(OR(TEXT(W$13,"ddd")="Sun",W$13="",$D147=""),"",IF('Leave Planner'!U148="",1,0))</f>
        <v/>
      </c>
      <c r="X147" s="17" t="str">
        <f>IF(OR(TEXT(X$13,"ddd")="Sun",X$13="",$D147=""),"",IF('Leave Planner'!V148="",1,0))</f>
        <v/>
      </c>
      <c r="Y147" s="17" t="str">
        <f>IF(OR(TEXT(Y$13,"ddd")="Sun",Y$13="",$D147=""),"",IF('Leave Planner'!W148="",1,0))</f>
        <v/>
      </c>
      <c r="Z147" s="17" t="str">
        <f>IF(OR(TEXT(Z$13,"ddd")="Sun",Z$13="",$D147=""),"",IF('Leave Planner'!X148="",1,0))</f>
        <v/>
      </c>
      <c r="AA147" s="17" t="str">
        <f>IF(OR(TEXT(AA$13,"ddd")="Sun",AA$13="",$D147=""),"",IF('Leave Planner'!Y148="",1,0))</f>
        <v/>
      </c>
      <c r="AB147" s="17" t="str">
        <f>IF(OR(TEXT(AB$13,"ddd")="Sun",AB$13="",$D147=""),"",IF('Leave Planner'!Z148="",1,0))</f>
        <v/>
      </c>
      <c r="AC147" s="17" t="str">
        <f>IF(OR(TEXT(AC$13,"ddd")="Sun",AC$13="",$D147=""),"",IF('Leave Planner'!AA148="",1,0))</f>
        <v/>
      </c>
      <c r="AD147" s="17" t="str">
        <f>IF(OR(TEXT(AD$13,"ddd")="Sun",AD$13="",$D147=""),"",IF('Leave Planner'!AB148="",1,0))</f>
        <v/>
      </c>
      <c r="AE147" s="17" t="str">
        <f>IF(OR(TEXT(AE$13,"ddd")="Sun",AE$13="",$D147=""),"",IF('Leave Planner'!AC148="",1,0))</f>
        <v/>
      </c>
      <c r="AF147" s="17" t="str">
        <f>IF(OR(TEXT(AF$13,"ddd")="Sun",AF$13="",$D147=""),"",IF('Leave Planner'!AD148="",1,0))</f>
        <v/>
      </c>
      <c r="AG147" s="17" t="str">
        <f>IF(OR(TEXT(AG$13,"ddd")="Sun",AG$13="",$D147=""),"",IF('Leave Planner'!AE148="",1,0))</f>
        <v/>
      </c>
      <c r="AH147" s="17" t="str">
        <f>IF(OR(TEXT(AH$13,"ddd")="Sun",AH$13="",$D147=""),"",IF('Leave Planner'!AF148="",1,0))</f>
        <v/>
      </c>
      <c r="AI147" s="17" t="str">
        <f>IF(OR(TEXT(AI$13,"ddd")="Sun",AI$13="",$D147=""),"",IF('Leave Planner'!AG148="",1,0))</f>
        <v/>
      </c>
      <c r="AJ147" s="17" t="str">
        <f>IF(OR(TEXT(AJ$13,"ddd")="Sun",AJ$13="",$D147=""),"",IF('Leave Planner'!AH148="",1,0))</f>
        <v/>
      </c>
    </row>
    <row r="148" spans="2:36" x14ac:dyDescent="0.75">
      <c r="B148" s="15"/>
      <c r="C148" s="22"/>
      <c r="D148" s="22"/>
      <c r="E148" s="42" t="str">
        <f t="shared" si="7"/>
        <v/>
      </c>
      <c r="F148" s="17" t="str">
        <f>IF(OR(TEXT(F$13,"ddd")="Sun",F$13="",$D148=""),"",IF('Leave Planner'!D149="",1,0))</f>
        <v/>
      </c>
      <c r="G148" s="17" t="str">
        <f>IF(OR(TEXT(G$13,"ddd")="Sun",G$13="",$D148=""),"",IF('Leave Planner'!E149="",1,0))</f>
        <v/>
      </c>
      <c r="H148" s="17" t="str">
        <f>IF(OR(TEXT(H$13,"ddd")="Sun",H$13="",$D148=""),"",IF('Leave Planner'!F149="",1,0))</f>
        <v/>
      </c>
      <c r="I148" s="17" t="str">
        <f>IF(OR(TEXT(I$13,"ddd")="Sun",I$13="",$D148=""),"",IF('Leave Planner'!G149="",1,0))</f>
        <v/>
      </c>
      <c r="J148" s="17" t="str">
        <f>IF(OR(TEXT(J$13,"ddd")="Sun",J$13="",$D148=""),"",IF('Leave Planner'!H149="",1,0))</f>
        <v/>
      </c>
      <c r="K148" s="17" t="str">
        <f>IF(OR(TEXT(K$13,"ddd")="Sun",K$13="",$D148=""),"",IF('Leave Planner'!I149="",1,0))</f>
        <v/>
      </c>
      <c r="L148" s="17" t="str">
        <f>IF(OR(TEXT(L$13,"ddd")="Sun",L$13="",$D148=""),"",IF('Leave Planner'!J149="",1,0))</f>
        <v/>
      </c>
      <c r="M148" s="17" t="str">
        <f>IF(OR(TEXT(M$13,"ddd")="Sun",M$13="",$D148=""),"",IF('Leave Planner'!K149="",1,0))</f>
        <v/>
      </c>
      <c r="N148" s="17" t="str">
        <f>IF(OR(TEXT(N$13,"ddd")="Sun",N$13="",$D148=""),"",IF('Leave Planner'!L149="",1,0))</f>
        <v/>
      </c>
      <c r="O148" s="17" t="str">
        <f>IF(OR(TEXT(O$13,"ddd")="Sun",O$13="",$D148=""),"",IF('Leave Planner'!M149="",1,0))</f>
        <v/>
      </c>
      <c r="P148" s="17" t="str">
        <f>IF(OR(TEXT(P$13,"ddd")="Sun",P$13="",$D148=""),"",IF('Leave Planner'!N149="",1,0))</f>
        <v/>
      </c>
      <c r="Q148" s="17" t="str">
        <f>IF(OR(TEXT(Q$13,"ddd")="Sun",Q$13="",$D148=""),"",IF('Leave Planner'!O149="",1,0))</f>
        <v/>
      </c>
      <c r="R148" s="17" t="str">
        <f>IF(OR(TEXT(R$13,"ddd")="Sun",R$13="",$D148=""),"",IF('Leave Planner'!P149="",1,0))</f>
        <v/>
      </c>
      <c r="S148" s="17" t="str">
        <f>IF(OR(TEXT(S$13,"ddd")="Sun",S$13="",$D148=""),"",IF('Leave Planner'!Q149="",1,0))</f>
        <v/>
      </c>
      <c r="T148" s="17" t="str">
        <f>IF(OR(TEXT(T$13,"ddd")="Sun",T$13="",$D148=""),"",IF('Leave Planner'!R149="",1,0))</f>
        <v/>
      </c>
      <c r="U148" s="17" t="str">
        <f>IF(OR(TEXT(U$13,"ddd")="Sun",U$13="",$D148=""),"",IF('Leave Planner'!S149="",1,0))</f>
        <v/>
      </c>
      <c r="V148" s="17" t="str">
        <f>IF(OR(TEXT(V$13,"ddd")="Sun",V$13="",$D148=""),"",IF('Leave Planner'!T149="",1,0))</f>
        <v/>
      </c>
      <c r="W148" s="17" t="str">
        <f>IF(OR(TEXT(W$13,"ddd")="Sun",W$13="",$D148=""),"",IF('Leave Planner'!U149="",1,0))</f>
        <v/>
      </c>
      <c r="X148" s="17" t="str">
        <f>IF(OR(TEXT(X$13,"ddd")="Sun",X$13="",$D148=""),"",IF('Leave Planner'!V149="",1,0))</f>
        <v/>
      </c>
      <c r="Y148" s="17" t="str">
        <f>IF(OR(TEXT(Y$13,"ddd")="Sun",Y$13="",$D148=""),"",IF('Leave Planner'!W149="",1,0))</f>
        <v/>
      </c>
      <c r="Z148" s="17" t="str">
        <f>IF(OR(TEXT(Z$13,"ddd")="Sun",Z$13="",$D148=""),"",IF('Leave Planner'!X149="",1,0))</f>
        <v/>
      </c>
      <c r="AA148" s="17" t="str">
        <f>IF(OR(TEXT(AA$13,"ddd")="Sun",AA$13="",$D148=""),"",IF('Leave Planner'!Y149="",1,0))</f>
        <v/>
      </c>
      <c r="AB148" s="17" t="str">
        <f>IF(OR(TEXT(AB$13,"ddd")="Sun",AB$13="",$D148=""),"",IF('Leave Planner'!Z149="",1,0))</f>
        <v/>
      </c>
      <c r="AC148" s="17" t="str">
        <f>IF(OR(TEXT(AC$13,"ddd")="Sun",AC$13="",$D148=""),"",IF('Leave Planner'!AA149="",1,0))</f>
        <v/>
      </c>
      <c r="AD148" s="17" t="str">
        <f>IF(OR(TEXT(AD$13,"ddd")="Sun",AD$13="",$D148=""),"",IF('Leave Planner'!AB149="",1,0))</f>
        <v/>
      </c>
      <c r="AE148" s="17" t="str">
        <f>IF(OR(TEXT(AE$13,"ddd")="Sun",AE$13="",$D148=""),"",IF('Leave Planner'!AC149="",1,0))</f>
        <v/>
      </c>
      <c r="AF148" s="17" t="str">
        <f>IF(OR(TEXT(AF$13,"ddd")="Sun",AF$13="",$D148=""),"",IF('Leave Planner'!AD149="",1,0))</f>
        <v/>
      </c>
      <c r="AG148" s="17" t="str">
        <f>IF(OR(TEXT(AG$13,"ddd")="Sun",AG$13="",$D148=""),"",IF('Leave Planner'!AE149="",1,0))</f>
        <v/>
      </c>
      <c r="AH148" s="17" t="str">
        <f>IF(OR(TEXT(AH$13,"ddd")="Sun",AH$13="",$D148=""),"",IF('Leave Planner'!AF149="",1,0))</f>
        <v/>
      </c>
      <c r="AI148" s="17" t="str">
        <f>IF(OR(TEXT(AI$13,"ddd")="Sun",AI$13="",$D148=""),"",IF('Leave Planner'!AG149="",1,0))</f>
        <v/>
      </c>
      <c r="AJ148" s="17" t="str">
        <f>IF(OR(TEXT(AJ$13,"ddd")="Sun",AJ$13="",$D148=""),"",IF('Leave Planner'!AH149="",1,0))</f>
        <v/>
      </c>
    </row>
    <row r="149" spans="2:36" x14ac:dyDescent="0.75">
      <c r="B149" s="15"/>
      <c r="C149" s="22"/>
      <c r="D149" s="22"/>
      <c r="E149" s="42" t="str">
        <f t="shared" si="7"/>
        <v/>
      </c>
      <c r="F149" s="17" t="str">
        <f>IF(OR(TEXT(F$13,"ddd")="Sun",F$13="",$D149=""),"",IF('Leave Planner'!D150="",1,0))</f>
        <v/>
      </c>
      <c r="G149" s="17" t="str">
        <f>IF(OR(TEXT(G$13,"ddd")="Sun",G$13="",$D149=""),"",IF('Leave Planner'!E150="",1,0))</f>
        <v/>
      </c>
      <c r="H149" s="17" t="str">
        <f>IF(OR(TEXT(H$13,"ddd")="Sun",H$13="",$D149=""),"",IF('Leave Planner'!F150="",1,0))</f>
        <v/>
      </c>
      <c r="I149" s="17" t="str">
        <f>IF(OR(TEXT(I$13,"ddd")="Sun",I$13="",$D149=""),"",IF('Leave Planner'!G150="",1,0))</f>
        <v/>
      </c>
      <c r="J149" s="17" t="str">
        <f>IF(OR(TEXT(J$13,"ddd")="Sun",J$13="",$D149=""),"",IF('Leave Planner'!H150="",1,0))</f>
        <v/>
      </c>
      <c r="K149" s="17" t="str">
        <f>IF(OR(TEXT(K$13,"ddd")="Sun",K$13="",$D149=""),"",IF('Leave Planner'!I150="",1,0))</f>
        <v/>
      </c>
      <c r="L149" s="17" t="str">
        <f>IF(OR(TEXT(L$13,"ddd")="Sun",L$13="",$D149=""),"",IF('Leave Planner'!J150="",1,0))</f>
        <v/>
      </c>
      <c r="M149" s="17" t="str">
        <f>IF(OR(TEXT(M$13,"ddd")="Sun",M$13="",$D149=""),"",IF('Leave Planner'!K150="",1,0))</f>
        <v/>
      </c>
      <c r="N149" s="17" t="str">
        <f>IF(OR(TEXT(N$13,"ddd")="Sun",N$13="",$D149=""),"",IF('Leave Planner'!L150="",1,0))</f>
        <v/>
      </c>
      <c r="O149" s="17" t="str">
        <f>IF(OR(TEXT(O$13,"ddd")="Sun",O$13="",$D149=""),"",IF('Leave Planner'!M150="",1,0))</f>
        <v/>
      </c>
      <c r="P149" s="17" t="str">
        <f>IF(OR(TEXT(P$13,"ddd")="Sun",P$13="",$D149=""),"",IF('Leave Planner'!N150="",1,0))</f>
        <v/>
      </c>
      <c r="Q149" s="17" t="str">
        <f>IF(OR(TEXT(Q$13,"ddd")="Sun",Q$13="",$D149=""),"",IF('Leave Planner'!O150="",1,0))</f>
        <v/>
      </c>
      <c r="R149" s="17" t="str">
        <f>IF(OR(TEXT(R$13,"ddd")="Sun",R$13="",$D149=""),"",IF('Leave Planner'!P150="",1,0))</f>
        <v/>
      </c>
      <c r="S149" s="17" t="str">
        <f>IF(OR(TEXT(S$13,"ddd")="Sun",S$13="",$D149=""),"",IF('Leave Planner'!Q150="",1,0))</f>
        <v/>
      </c>
      <c r="T149" s="17" t="str">
        <f>IF(OR(TEXT(T$13,"ddd")="Sun",T$13="",$D149=""),"",IF('Leave Planner'!R150="",1,0))</f>
        <v/>
      </c>
      <c r="U149" s="17" t="str">
        <f>IF(OR(TEXT(U$13,"ddd")="Sun",U$13="",$D149=""),"",IF('Leave Planner'!S150="",1,0))</f>
        <v/>
      </c>
      <c r="V149" s="17" t="str">
        <f>IF(OR(TEXT(V$13,"ddd")="Sun",V$13="",$D149=""),"",IF('Leave Planner'!T150="",1,0))</f>
        <v/>
      </c>
      <c r="W149" s="17" t="str">
        <f>IF(OR(TEXT(W$13,"ddd")="Sun",W$13="",$D149=""),"",IF('Leave Planner'!U150="",1,0))</f>
        <v/>
      </c>
      <c r="X149" s="17" t="str">
        <f>IF(OR(TEXT(X$13,"ddd")="Sun",X$13="",$D149=""),"",IF('Leave Planner'!V150="",1,0))</f>
        <v/>
      </c>
      <c r="Y149" s="17" t="str">
        <f>IF(OR(TEXT(Y$13,"ddd")="Sun",Y$13="",$D149=""),"",IF('Leave Planner'!W150="",1,0))</f>
        <v/>
      </c>
      <c r="Z149" s="17" t="str">
        <f>IF(OR(TEXT(Z$13,"ddd")="Sun",Z$13="",$D149=""),"",IF('Leave Planner'!X150="",1,0))</f>
        <v/>
      </c>
      <c r="AA149" s="17" t="str">
        <f>IF(OR(TEXT(AA$13,"ddd")="Sun",AA$13="",$D149=""),"",IF('Leave Planner'!Y150="",1,0))</f>
        <v/>
      </c>
      <c r="AB149" s="17" t="str">
        <f>IF(OR(TEXT(AB$13,"ddd")="Sun",AB$13="",$D149=""),"",IF('Leave Planner'!Z150="",1,0))</f>
        <v/>
      </c>
      <c r="AC149" s="17" t="str">
        <f>IF(OR(TEXT(AC$13,"ddd")="Sun",AC$13="",$D149=""),"",IF('Leave Planner'!AA150="",1,0))</f>
        <v/>
      </c>
      <c r="AD149" s="17" t="str">
        <f>IF(OR(TEXT(AD$13,"ddd")="Sun",AD$13="",$D149=""),"",IF('Leave Planner'!AB150="",1,0))</f>
        <v/>
      </c>
      <c r="AE149" s="17" t="str">
        <f>IF(OR(TEXT(AE$13,"ddd")="Sun",AE$13="",$D149=""),"",IF('Leave Planner'!AC150="",1,0))</f>
        <v/>
      </c>
      <c r="AF149" s="17" t="str">
        <f>IF(OR(TEXT(AF$13,"ddd")="Sun",AF$13="",$D149=""),"",IF('Leave Planner'!AD150="",1,0))</f>
        <v/>
      </c>
      <c r="AG149" s="17" t="str">
        <f>IF(OR(TEXT(AG$13,"ddd")="Sun",AG$13="",$D149=""),"",IF('Leave Planner'!AE150="",1,0))</f>
        <v/>
      </c>
      <c r="AH149" s="17" t="str">
        <f>IF(OR(TEXT(AH$13,"ddd")="Sun",AH$13="",$D149=""),"",IF('Leave Planner'!AF150="",1,0))</f>
        <v/>
      </c>
      <c r="AI149" s="17" t="str">
        <f>IF(OR(TEXT(AI$13,"ddd")="Sun",AI$13="",$D149=""),"",IF('Leave Planner'!AG150="",1,0))</f>
        <v/>
      </c>
      <c r="AJ149" s="17" t="str">
        <f>IF(OR(TEXT(AJ$13,"ddd")="Sun",AJ$13="",$D149=""),"",IF('Leave Planner'!AH150="",1,0))</f>
        <v/>
      </c>
    </row>
    <row r="150" spans="2:36" x14ac:dyDescent="0.75">
      <c r="B150" s="15"/>
      <c r="C150" s="22"/>
      <c r="D150" s="22"/>
      <c r="E150" s="42" t="str">
        <f t="shared" si="7"/>
        <v/>
      </c>
      <c r="F150" s="17" t="str">
        <f>IF(OR(TEXT(F$13,"ddd")="Sun",F$13="",$D150=""),"",IF('Leave Planner'!D151="",1,0))</f>
        <v/>
      </c>
      <c r="G150" s="17" t="str">
        <f>IF(OR(TEXT(G$13,"ddd")="Sun",G$13="",$D150=""),"",IF('Leave Planner'!E151="",1,0))</f>
        <v/>
      </c>
      <c r="H150" s="17" t="str">
        <f>IF(OR(TEXT(H$13,"ddd")="Sun",H$13="",$D150=""),"",IF('Leave Planner'!F151="",1,0))</f>
        <v/>
      </c>
      <c r="I150" s="17" t="str">
        <f>IF(OR(TEXT(I$13,"ddd")="Sun",I$13="",$D150=""),"",IF('Leave Planner'!G151="",1,0))</f>
        <v/>
      </c>
      <c r="J150" s="17" t="str">
        <f>IF(OR(TEXT(J$13,"ddd")="Sun",J$13="",$D150=""),"",IF('Leave Planner'!H151="",1,0))</f>
        <v/>
      </c>
      <c r="K150" s="17" t="str">
        <f>IF(OR(TEXT(K$13,"ddd")="Sun",K$13="",$D150=""),"",IF('Leave Planner'!I151="",1,0))</f>
        <v/>
      </c>
      <c r="L150" s="17" t="str">
        <f>IF(OR(TEXT(L$13,"ddd")="Sun",L$13="",$D150=""),"",IF('Leave Planner'!J151="",1,0))</f>
        <v/>
      </c>
      <c r="M150" s="17" t="str">
        <f>IF(OR(TEXT(M$13,"ddd")="Sun",M$13="",$D150=""),"",IF('Leave Planner'!K151="",1,0))</f>
        <v/>
      </c>
      <c r="N150" s="17" t="str">
        <f>IF(OR(TEXT(N$13,"ddd")="Sun",N$13="",$D150=""),"",IF('Leave Planner'!L151="",1,0))</f>
        <v/>
      </c>
      <c r="O150" s="17" t="str">
        <f>IF(OR(TEXT(O$13,"ddd")="Sun",O$13="",$D150=""),"",IF('Leave Planner'!M151="",1,0))</f>
        <v/>
      </c>
      <c r="P150" s="17" t="str">
        <f>IF(OR(TEXT(P$13,"ddd")="Sun",P$13="",$D150=""),"",IF('Leave Planner'!N151="",1,0))</f>
        <v/>
      </c>
      <c r="Q150" s="17" t="str">
        <f>IF(OR(TEXT(Q$13,"ddd")="Sun",Q$13="",$D150=""),"",IF('Leave Planner'!O151="",1,0))</f>
        <v/>
      </c>
      <c r="R150" s="17" t="str">
        <f>IF(OR(TEXT(R$13,"ddd")="Sun",R$13="",$D150=""),"",IF('Leave Planner'!P151="",1,0))</f>
        <v/>
      </c>
      <c r="S150" s="17" t="str">
        <f>IF(OR(TEXT(S$13,"ddd")="Sun",S$13="",$D150=""),"",IF('Leave Planner'!Q151="",1,0))</f>
        <v/>
      </c>
      <c r="T150" s="17" t="str">
        <f>IF(OR(TEXT(T$13,"ddd")="Sun",T$13="",$D150=""),"",IF('Leave Planner'!R151="",1,0))</f>
        <v/>
      </c>
      <c r="U150" s="17" t="str">
        <f>IF(OR(TEXT(U$13,"ddd")="Sun",U$13="",$D150=""),"",IF('Leave Planner'!S151="",1,0))</f>
        <v/>
      </c>
      <c r="V150" s="17" t="str">
        <f>IF(OR(TEXT(V$13,"ddd")="Sun",V$13="",$D150=""),"",IF('Leave Planner'!T151="",1,0))</f>
        <v/>
      </c>
      <c r="W150" s="17" t="str">
        <f>IF(OR(TEXT(W$13,"ddd")="Sun",W$13="",$D150=""),"",IF('Leave Planner'!U151="",1,0))</f>
        <v/>
      </c>
      <c r="X150" s="17" t="str">
        <f>IF(OR(TEXT(X$13,"ddd")="Sun",X$13="",$D150=""),"",IF('Leave Planner'!V151="",1,0))</f>
        <v/>
      </c>
      <c r="Y150" s="17" t="str">
        <f>IF(OR(TEXT(Y$13,"ddd")="Sun",Y$13="",$D150=""),"",IF('Leave Planner'!W151="",1,0))</f>
        <v/>
      </c>
      <c r="Z150" s="17" t="str">
        <f>IF(OR(TEXT(Z$13,"ddd")="Sun",Z$13="",$D150=""),"",IF('Leave Planner'!X151="",1,0))</f>
        <v/>
      </c>
      <c r="AA150" s="17" t="str">
        <f>IF(OR(TEXT(AA$13,"ddd")="Sun",AA$13="",$D150=""),"",IF('Leave Planner'!Y151="",1,0))</f>
        <v/>
      </c>
      <c r="AB150" s="17" t="str">
        <f>IF(OR(TEXT(AB$13,"ddd")="Sun",AB$13="",$D150=""),"",IF('Leave Planner'!Z151="",1,0))</f>
        <v/>
      </c>
      <c r="AC150" s="17" t="str">
        <f>IF(OR(TEXT(AC$13,"ddd")="Sun",AC$13="",$D150=""),"",IF('Leave Planner'!AA151="",1,0))</f>
        <v/>
      </c>
      <c r="AD150" s="17" t="str">
        <f>IF(OR(TEXT(AD$13,"ddd")="Sun",AD$13="",$D150=""),"",IF('Leave Planner'!AB151="",1,0))</f>
        <v/>
      </c>
      <c r="AE150" s="17" t="str">
        <f>IF(OR(TEXT(AE$13,"ddd")="Sun",AE$13="",$D150=""),"",IF('Leave Planner'!AC151="",1,0))</f>
        <v/>
      </c>
      <c r="AF150" s="17" t="str">
        <f>IF(OR(TEXT(AF$13,"ddd")="Sun",AF$13="",$D150=""),"",IF('Leave Planner'!AD151="",1,0))</f>
        <v/>
      </c>
      <c r="AG150" s="17" t="str">
        <f>IF(OR(TEXT(AG$13,"ddd")="Sun",AG$13="",$D150=""),"",IF('Leave Planner'!AE151="",1,0))</f>
        <v/>
      </c>
      <c r="AH150" s="17" t="str">
        <f>IF(OR(TEXT(AH$13,"ddd")="Sun",AH$13="",$D150=""),"",IF('Leave Planner'!AF151="",1,0))</f>
        <v/>
      </c>
      <c r="AI150" s="17" t="str">
        <f>IF(OR(TEXT(AI$13,"ddd")="Sun",AI$13="",$D150=""),"",IF('Leave Planner'!AG151="",1,0))</f>
        <v/>
      </c>
      <c r="AJ150" s="17" t="str">
        <f>IF(OR(TEXT(AJ$13,"ddd")="Sun",AJ$13="",$D150=""),"",IF('Leave Planner'!AH151="",1,0))</f>
        <v/>
      </c>
    </row>
    <row r="151" spans="2:36" x14ac:dyDescent="0.75">
      <c r="B151" s="15"/>
      <c r="C151" s="22"/>
      <c r="D151" s="22"/>
      <c r="E151" s="42" t="str">
        <f t="shared" si="7"/>
        <v/>
      </c>
      <c r="F151" s="17" t="str">
        <f>IF(OR(TEXT(F$13,"ddd")="Sun",F$13="",$D151=""),"",IF('Leave Planner'!D152="",1,0))</f>
        <v/>
      </c>
      <c r="G151" s="17" t="str">
        <f>IF(OR(TEXT(G$13,"ddd")="Sun",G$13="",$D151=""),"",IF('Leave Planner'!E152="",1,0))</f>
        <v/>
      </c>
      <c r="H151" s="17" t="str">
        <f>IF(OR(TEXT(H$13,"ddd")="Sun",H$13="",$D151=""),"",IF('Leave Planner'!F152="",1,0))</f>
        <v/>
      </c>
      <c r="I151" s="17" t="str">
        <f>IF(OR(TEXT(I$13,"ddd")="Sun",I$13="",$D151=""),"",IF('Leave Planner'!G152="",1,0))</f>
        <v/>
      </c>
      <c r="J151" s="17" t="str">
        <f>IF(OR(TEXT(J$13,"ddd")="Sun",J$13="",$D151=""),"",IF('Leave Planner'!H152="",1,0))</f>
        <v/>
      </c>
      <c r="K151" s="17" t="str">
        <f>IF(OR(TEXT(K$13,"ddd")="Sun",K$13="",$D151=""),"",IF('Leave Planner'!I152="",1,0))</f>
        <v/>
      </c>
      <c r="L151" s="17" t="str">
        <f>IF(OR(TEXT(L$13,"ddd")="Sun",L$13="",$D151=""),"",IF('Leave Planner'!J152="",1,0))</f>
        <v/>
      </c>
      <c r="M151" s="17" t="str">
        <f>IF(OR(TEXT(M$13,"ddd")="Sun",M$13="",$D151=""),"",IF('Leave Planner'!K152="",1,0))</f>
        <v/>
      </c>
      <c r="N151" s="17" t="str">
        <f>IF(OR(TEXT(N$13,"ddd")="Sun",N$13="",$D151=""),"",IF('Leave Planner'!L152="",1,0))</f>
        <v/>
      </c>
      <c r="O151" s="17" t="str">
        <f>IF(OR(TEXT(O$13,"ddd")="Sun",O$13="",$D151=""),"",IF('Leave Planner'!M152="",1,0))</f>
        <v/>
      </c>
      <c r="P151" s="17" t="str">
        <f>IF(OR(TEXT(P$13,"ddd")="Sun",P$13="",$D151=""),"",IF('Leave Planner'!N152="",1,0))</f>
        <v/>
      </c>
      <c r="Q151" s="17" t="str">
        <f>IF(OR(TEXT(Q$13,"ddd")="Sun",Q$13="",$D151=""),"",IF('Leave Planner'!O152="",1,0))</f>
        <v/>
      </c>
      <c r="R151" s="17" t="str">
        <f>IF(OR(TEXT(R$13,"ddd")="Sun",R$13="",$D151=""),"",IF('Leave Planner'!P152="",1,0))</f>
        <v/>
      </c>
      <c r="S151" s="17" t="str">
        <f>IF(OR(TEXT(S$13,"ddd")="Sun",S$13="",$D151=""),"",IF('Leave Planner'!Q152="",1,0))</f>
        <v/>
      </c>
      <c r="T151" s="17" t="str">
        <f>IF(OR(TEXT(T$13,"ddd")="Sun",T$13="",$D151=""),"",IF('Leave Planner'!R152="",1,0))</f>
        <v/>
      </c>
      <c r="U151" s="17" t="str">
        <f>IF(OR(TEXT(U$13,"ddd")="Sun",U$13="",$D151=""),"",IF('Leave Planner'!S152="",1,0))</f>
        <v/>
      </c>
      <c r="V151" s="17" t="str">
        <f>IF(OR(TEXT(V$13,"ddd")="Sun",V$13="",$D151=""),"",IF('Leave Planner'!T152="",1,0))</f>
        <v/>
      </c>
      <c r="W151" s="17" t="str">
        <f>IF(OR(TEXT(W$13,"ddd")="Sun",W$13="",$D151=""),"",IF('Leave Planner'!U152="",1,0))</f>
        <v/>
      </c>
      <c r="X151" s="17" t="str">
        <f>IF(OR(TEXT(X$13,"ddd")="Sun",X$13="",$D151=""),"",IF('Leave Planner'!V152="",1,0))</f>
        <v/>
      </c>
      <c r="Y151" s="17" t="str">
        <f>IF(OR(TEXT(Y$13,"ddd")="Sun",Y$13="",$D151=""),"",IF('Leave Planner'!W152="",1,0))</f>
        <v/>
      </c>
      <c r="Z151" s="17" t="str">
        <f>IF(OR(TEXT(Z$13,"ddd")="Sun",Z$13="",$D151=""),"",IF('Leave Planner'!X152="",1,0))</f>
        <v/>
      </c>
      <c r="AA151" s="17" t="str">
        <f>IF(OR(TEXT(AA$13,"ddd")="Sun",AA$13="",$D151=""),"",IF('Leave Planner'!Y152="",1,0))</f>
        <v/>
      </c>
      <c r="AB151" s="17" t="str">
        <f>IF(OR(TEXT(AB$13,"ddd")="Sun",AB$13="",$D151=""),"",IF('Leave Planner'!Z152="",1,0))</f>
        <v/>
      </c>
      <c r="AC151" s="17" t="str">
        <f>IF(OR(TEXT(AC$13,"ddd")="Sun",AC$13="",$D151=""),"",IF('Leave Planner'!AA152="",1,0))</f>
        <v/>
      </c>
      <c r="AD151" s="17" t="str">
        <f>IF(OR(TEXT(AD$13,"ddd")="Sun",AD$13="",$D151=""),"",IF('Leave Planner'!AB152="",1,0))</f>
        <v/>
      </c>
      <c r="AE151" s="17" t="str">
        <f>IF(OR(TEXT(AE$13,"ddd")="Sun",AE$13="",$D151=""),"",IF('Leave Planner'!AC152="",1,0))</f>
        <v/>
      </c>
      <c r="AF151" s="17" t="str">
        <f>IF(OR(TEXT(AF$13,"ddd")="Sun",AF$13="",$D151=""),"",IF('Leave Planner'!AD152="",1,0))</f>
        <v/>
      </c>
      <c r="AG151" s="17" t="str">
        <f>IF(OR(TEXT(AG$13,"ddd")="Sun",AG$13="",$D151=""),"",IF('Leave Planner'!AE152="",1,0))</f>
        <v/>
      </c>
      <c r="AH151" s="17" t="str">
        <f>IF(OR(TEXT(AH$13,"ddd")="Sun",AH$13="",$D151=""),"",IF('Leave Planner'!AF152="",1,0))</f>
        <v/>
      </c>
      <c r="AI151" s="17" t="str">
        <f>IF(OR(TEXT(AI$13,"ddd")="Sun",AI$13="",$D151=""),"",IF('Leave Planner'!AG152="",1,0))</f>
        <v/>
      </c>
      <c r="AJ151" s="17" t="str">
        <f>IF(OR(TEXT(AJ$13,"ddd")="Sun",AJ$13="",$D151=""),"",IF('Leave Planner'!AH152="",1,0))</f>
        <v/>
      </c>
    </row>
    <row r="152" spans="2:36" x14ac:dyDescent="0.75">
      <c r="B152" s="15"/>
      <c r="C152" s="22"/>
      <c r="D152" s="22"/>
      <c r="E152" s="42" t="str">
        <f t="shared" si="7"/>
        <v/>
      </c>
      <c r="F152" s="17" t="str">
        <f>IF(OR(TEXT(F$13,"ddd")="Sun",F$13="",$D152=""),"",IF('Leave Planner'!D153="",1,0))</f>
        <v/>
      </c>
      <c r="G152" s="17" t="str">
        <f>IF(OR(TEXT(G$13,"ddd")="Sun",G$13="",$D152=""),"",IF('Leave Planner'!E153="",1,0))</f>
        <v/>
      </c>
      <c r="H152" s="17" t="str">
        <f>IF(OR(TEXT(H$13,"ddd")="Sun",H$13="",$D152=""),"",IF('Leave Planner'!F153="",1,0))</f>
        <v/>
      </c>
      <c r="I152" s="17" t="str">
        <f>IF(OR(TEXT(I$13,"ddd")="Sun",I$13="",$D152=""),"",IF('Leave Planner'!G153="",1,0))</f>
        <v/>
      </c>
      <c r="J152" s="17" t="str">
        <f>IF(OR(TEXT(J$13,"ddd")="Sun",J$13="",$D152=""),"",IF('Leave Planner'!H153="",1,0))</f>
        <v/>
      </c>
      <c r="K152" s="17" t="str">
        <f>IF(OR(TEXT(K$13,"ddd")="Sun",K$13="",$D152=""),"",IF('Leave Planner'!I153="",1,0))</f>
        <v/>
      </c>
      <c r="L152" s="17" t="str">
        <f>IF(OR(TEXT(L$13,"ddd")="Sun",L$13="",$D152=""),"",IF('Leave Planner'!J153="",1,0))</f>
        <v/>
      </c>
      <c r="M152" s="17" t="str">
        <f>IF(OR(TEXT(M$13,"ddd")="Sun",M$13="",$D152=""),"",IF('Leave Planner'!K153="",1,0))</f>
        <v/>
      </c>
      <c r="N152" s="17" t="str">
        <f>IF(OR(TEXT(N$13,"ddd")="Sun",N$13="",$D152=""),"",IF('Leave Planner'!L153="",1,0))</f>
        <v/>
      </c>
      <c r="O152" s="17" t="str">
        <f>IF(OR(TEXT(O$13,"ddd")="Sun",O$13="",$D152=""),"",IF('Leave Planner'!M153="",1,0))</f>
        <v/>
      </c>
      <c r="P152" s="17" t="str">
        <f>IF(OR(TEXT(P$13,"ddd")="Sun",P$13="",$D152=""),"",IF('Leave Planner'!N153="",1,0))</f>
        <v/>
      </c>
      <c r="Q152" s="17" t="str">
        <f>IF(OR(TEXT(Q$13,"ddd")="Sun",Q$13="",$D152=""),"",IF('Leave Planner'!O153="",1,0))</f>
        <v/>
      </c>
      <c r="R152" s="17" t="str">
        <f>IF(OR(TEXT(R$13,"ddd")="Sun",R$13="",$D152=""),"",IF('Leave Planner'!P153="",1,0))</f>
        <v/>
      </c>
      <c r="S152" s="17" t="str">
        <f>IF(OR(TEXT(S$13,"ddd")="Sun",S$13="",$D152=""),"",IF('Leave Planner'!Q153="",1,0))</f>
        <v/>
      </c>
      <c r="T152" s="17" t="str">
        <f>IF(OR(TEXT(T$13,"ddd")="Sun",T$13="",$D152=""),"",IF('Leave Planner'!R153="",1,0))</f>
        <v/>
      </c>
      <c r="U152" s="17" t="str">
        <f>IF(OR(TEXT(U$13,"ddd")="Sun",U$13="",$D152=""),"",IF('Leave Planner'!S153="",1,0))</f>
        <v/>
      </c>
      <c r="V152" s="17" t="str">
        <f>IF(OR(TEXT(V$13,"ddd")="Sun",V$13="",$D152=""),"",IF('Leave Planner'!T153="",1,0))</f>
        <v/>
      </c>
      <c r="W152" s="17" t="str">
        <f>IF(OR(TEXT(W$13,"ddd")="Sun",W$13="",$D152=""),"",IF('Leave Planner'!U153="",1,0))</f>
        <v/>
      </c>
      <c r="X152" s="17" t="str">
        <f>IF(OR(TEXT(X$13,"ddd")="Sun",X$13="",$D152=""),"",IF('Leave Planner'!V153="",1,0))</f>
        <v/>
      </c>
      <c r="Y152" s="17" t="str">
        <f>IF(OR(TEXT(Y$13,"ddd")="Sun",Y$13="",$D152=""),"",IF('Leave Planner'!W153="",1,0))</f>
        <v/>
      </c>
      <c r="Z152" s="17" t="str">
        <f>IF(OR(TEXT(Z$13,"ddd")="Sun",Z$13="",$D152=""),"",IF('Leave Planner'!X153="",1,0))</f>
        <v/>
      </c>
      <c r="AA152" s="17" t="str">
        <f>IF(OR(TEXT(AA$13,"ddd")="Sun",AA$13="",$D152=""),"",IF('Leave Planner'!Y153="",1,0))</f>
        <v/>
      </c>
      <c r="AB152" s="17" t="str">
        <f>IF(OR(TEXT(AB$13,"ddd")="Sun",AB$13="",$D152=""),"",IF('Leave Planner'!Z153="",1,0))</f>
        <v/>
      </c>
      <c r="AC152" s="17" t="str">
        <f>IF(OR(TEXT(AC$13,"ddd")="Sun",AC$13="",$D152=""),"",IF('Leave Planner'!AA153="",1,0))</f>
        <v/>
      </c>
      <c r="AD152" s="17" t="str">
        <f>IF(OR(TEXT(AD$13,"ddd")="Sun",AD$13="",$D152=""),"",IF('Leave Planner'!AB153="",1,0))</f>
        <v/>
      </c>
      <c r="AE152" s="17" t="str">
        <f>IF(OR(TEXT(AE$13,"ddd")="Sun",AE$13="",$D152=""),"",IF('Leave Planner'!AC153="",1,0))</f>
        <v/>
      </c>
      <c r="AF152" s="17" t="str">
        <f>IF(OR(TEXT(AF$13,"ddd")="Sun",AF$13="",$D152=""),"",IF('Leave Planner'!AD153="",1,0))</f>
        <v/>
      </c>
      <c r="AG152" s="17" t="str">
        <f>IF(OR(TEXT(AG$13,"ddd")="Sun",AG$13="",$D152=""),"",IF('Leave Planner'!AE153="",1,0))</f>
        <v/>
      </c>
      <c r="AH152" s="17" t="str">
        <f>IF(OR(TEXT(AH$13,"ddd")="Sun",AH$13="",$D152=""),"",IF('Leave Planner'!AF153="",1,0))</f>
        <v/>
      </c>
      <c r="AI152" s="17" t="str">
        <f>IF(OR(TEXT(AI$13,"ddd")="Sun",AI$13="",$D152=""),"",IF('Leave Planner'!AG153="",1,0))</f>
        <v/>
      </c>
      <c r="AJ152" s="17" t="str">
        <f>IF(OR(TEXT(AJ$13,"ddd")="Sun",AJ$13="",$D152=""),"",IF('Leave Planner'!AH153="",1,0))</f>
        <v/>
      </c>
    </row>
    <row r="153" spans="2:36" x14ac:dyDescent="0.75">
      <c r="B153" s="15"/>
      <c r="C153" s="22"/>
      <c r="D153" s="22"/>
      <c r="E153" s="42" t="str">
        <f t="shared" si="7"/>
        <v/>
      </c>
      <c r="F153" s="17" t="str">
        <f>IF(OR(TEXT(F$13,"ddd")="Sun",F$13="",$D153=""),"",IF('Leave Planner'!D154="",1,0))</f>
        <v/>
      </c>
      <c r="G153" s="17" t="str">
        <f>IF(OR(TEXT(G$13,"ddd")="Sun",G$13="",$D153=""),"",IF('Leave Planner'!E154="",1,0))</f>
        <v/>
      </c>
      <c r="H153" s="17" t="str">
        <f>IF(OR(TEXT(H$13,"ddd")="Sun",H$13="",$D153=""),"",IF('Leave Planner'!F154="",1,0))</f>
        <v/>
      </c>
      <c r="I153" s="17" t="str">
        <f>IF(OR(TEXT(I$13,"ddd")="Sun",I$13="",$D153=""),"",IF('Leave Planner'!G154="",1,0))</f>
        <v/>
      </c>
      <c r="J153" s="17" t="str">
        <f>IF(OR(TEXT(J$13,"ddd")="Sun",J$13="",$D153=""),"",IF('Leave Planner'!H154="",1,0))</f>
        <v/>
      </c>
      <c r="K153" s="17" t="str">
        <f>IF(OR(TEXT(K$13,"ddd")="Sun",K$13="",$D153=""),"",IF('Leave Planner'!I154="",1,0))</f>
        <v/>
      </c>
      <c r="L153" s="17" t="str">
        <f>IF(OR(TEXT(L$13,"ddd")="Sun",L$13="",$D153=""),"",IF('Leave Planner'!J154="",1,0))</f>
        <v/>
      </c>
      <c r="M153" s="17" t="str">
        <f>IF(OR(TEXT(M$13,"ddd")="Sun",M$13="",$D153=""),"",IF('Leave Planner'!K154="",1,0))</f>
        <v/>
      </c>
      <c r="N153" s="17" t="str">
        <f>IF(OR(TEXT(N$13,"ddd")="Sun",N$13="",$D153=""),"",IF('Leave Planner'!L154="",1,0))</f>
        <v/>
      </c>
      <c r="O153" s="17" t="str">
        <f>IF(OR(TEXT(O$13,"ddd")="Sun",O$13="",$D153=""),"",IF('Leave Planner'!M154="",1,0))</f>
        <v/>
      </c>
      <c r="P153" s="17" t="str">
        <f>IF(OR(TEXT(P$13,"ddd")="Sun",P$13="",$D153=""),"",IF('Leave Planner'!N154="",1,0))</f>
        <v/>
      </c>
      <c r="Q153" s="17" t="str">
        <f>IF(OR(TEXT(Q$13,"ddd")="Sun",Q$13="",$D153=""),"",IF('Leave Planner'!O154="",1,0))</f>
        <v/>
      </c>
      <c r="R153" s="17" t="str">
        <f>IF(OR(TEXT(R$13,"ddd")="Sun",R$13="",$D153=""),"",IF('Leave Planner'!P154="",1,0))</f>
        <v/>
      </c>
      <c r="S153" s="17" t="str">
        <f>IF(OR(TEXT(S$13,"ddd")="Sun",S$13="",$D153=""),"",IF('Leave Planner'!Q154="",1,0))</f>
        <v/>
      </c>
      <c r="T153" s="17" t="str">
        <f>IF(OR(TEXT(T$13,"ddd")="Sun",T$13="",$D153=""),"",IF('Leave Planner'!R154="",1,0))</f>
        <v/>
      </c>
      <c r="U153" s="17" t="str">
        <f>IF(OR(TEXT(U$13,"ddd")="Sun",U$13="",$D153=""),"",IF('Leave Planner'!S154="",1,0))</f>
        <v/>
      </c>
      <c r="V153" s="17" t="str">
        <f>IF(OR(TEXT(V$13,"ddd")="Sun",V$13="",$D153=""),"",IF('Leave Planner'!T154="",1,0))</f>
        <v/>
      </c>
      <c r="W153" s="17" t="str">
        <f>IF(OR(TEXT(W$13,"ddd")="Sun",W$13="",$D153=""),"",IF('Leave Planner'!U154="",1,0))</f>
        <v/>
      </c>
      <c r="X153" s="17" t="str">
        <f>IF(OR(TEXT(X$13,"ddd")="Sun",X$13="",$D153=""),"",IF('Leave Planner'!V154="",1,0))</f>
        <v/>
      </c>
      <c r="Y153" s="17" t="str">
        <f>IF(OR(TEXT(Y$13,"ddd")="Sun",Y$13="",$D153=""),"",IF('Leave Planner'!W154="",1,0))</f>
        <v/>
      </c>
      <c r="Z153" s="17" t="str">
        <f>IF(OR(TEXT(Z$13,"ddd")="Sun",Z$13="",$D153=""),"",IF('Leave Planner'!X154="",1,0))</f>
        <v/>
      </c>
      <c r="AA153" s="17" t="str">
        <f>IF(OR(TEXT(AA$13,"ddd")="Sun",AA$13="",$D153=""),"",IF('Leave Planner'!Y154="",1,0))</f>
        <v/>
      </c>
      <c r="AB153" s="17" t="str">
        <f>IF(OR(TEXT(AB$13,"ddd")="Sun",AB$13="",$D153=""),"",IF('Leave Planner'!Z154="",1,0))</f>
        <v/>
      </c>
      <c r="AC153" s="17" t="str">
        <f>IF(OR(TEXT(AC$13,"ddd")="Sun",AC$13="",$D153=""),"",IF('Leave Planner'!AA154="",1,0))</f>
        <v/>
      </c>
      <c r="AD153" s="17" t="str">
        <f>IF(OR(TEXT(AD$13,"ddd")="Sun",AD$13="",$D153=""),"",IF('Leave Planner'!AB154="",1,0))</f>
        <v/>
      </c>
      <c r="AE153" s="17" t="str">
        <f>IF(OR(TEXT(AE$13,"ddd")="Sun",AE$13="",$D153=""),"",IF('Leave Planner'!AC154="",1,0))</f>
        <v/>
      </c>
      <c r="AF153" s="17" t="str">
        <f>IF(OR(TEXT(AF$13,"ddd")="Sun",AF$13="",$D153=""),"",IF('Leave Planner'!AD154="",1,0))</f>
        <v/>
      </c>
      <c r="AG153" s="17" t="str">
        <f>IF(OR(TEXT(AG$13,"ddd")="Sun",AG$13="",$D153=""),"",IF('Leave Planner'!AE154="",1,0))</f>
        <v/>
      </c>
      <c r="AH153" s="17" t="str">
        <f>IF(OR(TEXT(AH$13,"ddd")="Sun",AH$13="",$D153=""),"",IF('Leave Planner'!AF154="",1,0))</f>
        <v/>
      </c>
      <c r="AI153" s="17" t="str">
        <f>IF(OR(TEXT(AI$13,"ddd")="Sun",AI$13="",$D153=""),"",IF('Leave Planner'!AG154="",1,0))</f>
        <v/>
      </c>
      <c r="AJ153" s="17" t="str">
        <f>IF(OR(TEXT(AJ$13,"ddd")="Sun",AJ$13="",$D153=""),"",IF('Leave Planner'!AH154="",1,0))</f>
        <v/>
      </c>
    </row>
    <row r="154" spans="2:36" x14ac:dyDescent="0.75">
      <c r="B154" s="15"/>
      <c r="C154" s="22"/>
      <c r="D154" s="22"/>
      <c r="E154" s="42" t="str">
        <f t="shared" si="7"/>
        <v/>
      </c>
      <c r="F154" s="17" t="str">
        <f>IF(OR(TEXT(F$13,"ddd")="Sun",F$13="",$D154=""),"",IF('Leave Planner'!D155="",1,0))</f>
        <v/>
      </c>
      <c r="G154" s="17" t="str">
        <f>IF(OR(TEXT(G$13,"ddd")="Sun",G$13="",$D154=""),"",IF('Leave Planner'!E155="",1,0))</f>
        <v/>
      </c>
      <c r="H154" s="17" t="str">
        <f>IF(OR(TEXT(H$13,"ddd")="Sun",H$13="",$D154=""),"",IF('Leave Planner'!F155="",1,0))</f>
        <v/>
      </c>
      <c r="I154" s="17" t="str">
        <f>IF(OR(TEXT(I$13,"ddd")="Sun",I$13="",$D154=""),"",IF('Leave Planner'!G155="",1,0))</f>
        <v/>
      </c>
      <c r="J154" s="17" t="str">
        <f>IF(OR(TEXT(J$13,"ddd")="Sun",J$13="",$D154=""),"",IF('Leave Planner'!H155="",1,0))</f>
        <v/>
      </c>
      <c r="K154" s="17" t="str">
        <f>IF(OR(TEXT(K$13,"ddd")="Sun",K$13="",$D154=""),"",IF('Leave Planner'!I155="",1,0))</f>
        <v/>
      </c>
      <c r="L154" s="17" t="str">
        <f>IF(OR(TEXT(L$13,"ddd")="Sun",L$13="",$D154=""),"",IF('Leave Planner'!J155="",1,0))</f>
        <v/>
      </c>
      <c r="M154" s="17" t="str">
        <f>IF(OR(TEXT(M$13,"ddd")="Sun",M$13="",$D154=""),"",IF('Leave Planner'!K155="",1,0))</f>
        <v/>
      </c>
      <c r="N154" s="17" t="str">
        <f>IF(OR(TEXT(N$13,"ddd")="Sun",N$13="",$D154=""),"",IF('Leave Planner'!L155="",1,0))</f>
        <v/>
      </c>
      <c r="O154" s="17" t="str">
        <f>IF(OR(TEXT(O$13,"ddd")="Sun",O$13="",$D154=""),"",IF('Leave Planner'!M155="",1,0))</f>
        <v/>
      </c>
      <c r="P154" s="17" t="str">
        <f>IF(OR(TEXT(P$13,"ddd")="Sun",P$13="",$D154=""),"",IF('Leave Planner'!N155="",1,0))</f>
        <v/>
      </c>
      <c r="Q154" s="17" t="str">
        <f>IF(OR(TEXT(Q$13,"ddd")="Sun",Q$13="",$D154=""),"",IF('Leave Planner'!O155="",1,0))</f>
        <v/>
      </c>
      <c r="R154" s="17" t="str">
        <f>IF(OR(TEXT(R$13,"ddd")="Sun",R$13="",$D154=""),"",IF('Leave Planner'!P155="",1,0))</f>
        <v/>
      </c>
      <c r="S154" s="17" t="str">
        <f>IF(OR(TEXT(S$13,"ddd")="Sun",S$13="",$D154=""),"",IF('Leave Planner'!Q155="",1,0))</f>
        <v/>
      </c>
      <c r="T154" s="17" t="str">
        <f>IF(OR(TEXT(T$13,"ddd")="Sun",T$13="",$D154=""),"",IF('Leave Planner'!R155="",1,0))</f>
        <v/>
      </c>
      <c r="U154" s="17" t="str">
        <f>IF(OR(TEXT(U$13,"ddd")="Sun",U$13="",$D154=""),"",IF('Leave Planner'!S155="",1,0))</f>
        <v/>
      </c>
      <c r="V154" s="17" t="str">
        <f>IF(OR(TEXT(V$13,"ddd")="Sun",V$13="",$D154=""),"",IF('Leave Planner'!T155="",1,0))</f>
        <v/>
      </c>
      <c r="W154" s="17" t="str">
        <f>IF(OR(TEXT(W$13,"ddd")="Sun",W$13="",$D154=""),"",IF('Leave Planner'!U155="",1,0))</f>
        <v/>
      </c>
      <c r="X154" s="17" t="str">
        <f>IF(OR(TEXT(X$13,"ddd")="Sun",X$13="",$D154=""),"",IF('Leave Planner'!V155="",1,0))</f>
        <v/>
      </c>
      <c r="Y154" s="17" t="str">
        <f>IF(OR(TEXT(Y$13,"ddd")="Sun",Y$13="",$D154=""),"",IF('Leave Planner'!W155="",1,0))</f>
        <v/>
      </c>
      <c r="Z154" s="17" t="str">
        <f>IF(OR(TEXT(Z$13,"ddd")="Sun",Z$13="",$D154=""),"",IF('Leave Planner'!X155="",1,0))</f>
        <v/>
      </c>
      <c r="AA154" s="17" t="str">
        <f>IF(OR(TEXT(AA$13,"ddd")="Sun",AA$13="",$D154=""),"",IF('Leave Planner'!Y155="",1,0))</f>
        <v/>
      </c>
      <c r="AB154" s="17" t="str">
        <f>IF(OR(TEXT(AB$13,"ddd")="Sun",AB$13="",$D154=""),"",IF('Leave Planner'!Z155="",1,0))</f>
        <v/>
      </c>
      <c r="AC154" s="17" t="str">
        <f>IF(OR(TEXT(AC$13,"ddd")="Sun",AC$13="",$D154=""),"",IF('Leave Planner'!AA155="",1,0))</f>
        <v/>
      </c>
      <c r="AD154" s="17" t="str">
        <f>IF(OR(TEXT(AD$13,"ddd")="Sun",AD$13="",$D154=""),"",IF('Leave Planner'!AB155="",1,0))</f>
        <v/>
      </c>
      <c r="AE154" s="17" t="str">
        <f>IF(OR(TEXT(AE$13,"ddd")="Sun",AE$13="",$D154=""),"",IF('Leave Planner'!AC155="",1,0))</f>
        <v/>
      </c>
      <c r="AF154" s="17" t="str">
        <f>IF(OR(TEXT(AF$13,"ddd")="Sun",AF$13="",$D154=""),"",IF('Leave Planner'!AD155="",1,0))</f>
        <v/>
      </c>
      <c r="AG154" s="17" t="str">
        <f>IF(OR(TEXT(AG$13,"ddd")="Sun",AG$13="",$D154=""),"",IF('Leave Planner'!AE155="",1,0))</f>
        <v/>
      </c>
      <c r="AH154" s="17" t="str">
        <f>IF(OR(TEXT(AH$13,"ddd")="Sun",AH$13="",$D154=""),"",IF('Leave Planner'!AF155="",1,0))</f>
        <v/>
      </c>
      <c r="AI154" s="17" t="str">
        <f>IF(OR(TEXT(AI$13,"ddd")="Sun",AI$13="",$D154=""),"",IF('Leave Planner'!AG155="",1,0))</f>
        <v/>
      </c>
      <c r="AJ154" s="17" t="str">
        <f>IF(OR(TEXT(AJ$13,"ddd")="Sun",AJ$13="",$D154=""),"",IF('Leave Planner'!AH155="",1,0))</f>
        <v/>
      </c>
    </row>
    <row r="155" spans="2:36" x14ac:dyDescent="0.75">
      <c r="B155" s="15"/>
      <c r="C155" s="22"/>
      <c r="D155" s="22"/>
      <c r="E155" s="42" t="str">
        <f t="shared" si="7"/>
        <v/>
      </c>
      <c r="F155" s="17" t="str">
        <f>IF(OR(TEXT(F$13,"ddd")="Sun",F$13="",$D155=""),"",IF('Leave Planner'!D156="",1,0))</f>
        <v/>
      </c>
      <c r="G155" s="17" t="str">
        <f>IF(OR(TEXT(G$13,"ddd")="Sun",G$13="",$D155=""),"",IF('Leave Planner'!E156="",1,0))</f>
        <v/>
      </c>
      <c r="H155" s="17" t="str">
        <f>IF(OR(TEXT(H$13,"ddd")="Sun",H$13="",$D155=""),"",IF('Leave Planner'!F156="",1,0))</f>
        <v/>
      </c>
      <c r="I155" s="17" t="str">
        <f>IF(OR(TEXT(I$13,"ddd")="Sun",I$13="",$D155=""),"",IF('Leave Planner'!G156="",1,0))</f>
        <v/>
      </c>
      <c r="J155" s="17" t="str">
        <f>IF(OR(TEXT(J$13,"ddd")="Sun",J$13="",$D155=""),"",IF('Leave Planner'!H156="",1,0))</f>
        <v/>
      </c>
      <c r="K155" s="17" t="str">
        <f>IF(OR(TEXT(K$13,"ddd")="Sun",K$13="",$D155=""),"",IF('Leave Planner'!I156="",1,0))</f>
        <v/>
      </c>
      <c r="L155" s="17" t="str">
        <f>IF(OR(TEXT(L$13,"ddd")="Sun",L$13="",$D155=""),"",IF('Leave Planner'!J156="",1,0))</f>
        <v/>
      </c>
      <c r="M155" s="17" t="str">
        <f>IF(OR(TEXT(M$13,"ddd")="Sun",M$13="",$D155=""),"",IF('Leave Planner'!K156="",1,0))</f>
        <v/>
      </c>
      <c r="N155" s="17" t="str">
        <f>IF(OR(TEXT(N$13,"ddd")="Sun",N$13="",$D155=""),"",IF('Leave Planner'!L156="",1,0))</f>
        <v/>
      </c>
      <c r="O155" s="17" t="str">
        <f>IF(OR(TEXT(O$13,"ddd")="Sun",O$13="",$D155=""),"",IF('Leave Planner'!M156="",1,0))</f>
        <v/>
      </c>
      <c r="P155" s="17" t="str">
        <f>IF(OR(TEXT(P$13,"ddd")="Sun",P$13="",$D155=""),"",IF('Leave Planner'!N156="",1,0))</f>
        <v/>
      </c>
      <c r="Q155" s="17" t="str">
        <f>IF(OR(TEXT(Q$13,"ddd")="Sun",Q$13="",$D155=""),"",IF('Leave Planner'!O156="",1,0))</f>
        <v/>
      </c>
      <c r="R155" s="17" t="str">
        <f>IF(OR(TEXT(R$13,"ddd")="Sun",R$13="",$D155=""),"",IF('Leave Planner'!P156="",1,0))</f>
        <v/>
      </c>
      <c r="S155" s="17" t="str">
        <f>IF(OR(TEXT(S$13,"ddd")="Sun",S$13="",$D155=""),"",IF('Leave Planner'!Q156="",1,0))</f>
        <v/>
      </c>
      <c r="T155" s="17" t="str">
        <f>IF(OR(TEXT(T$13,"ddd")="Sun",T$13="",$D155=""),"",IF('Leave Planner'!R156="",1,0))</f>
        <v/>
      </c>
      <c r="U155" s="17" t="str">
        <f>IF(OR(TEXT(U$13,"ddd")="Sun",U$13="",$D155=""),"",IF('Leave Planner'!S156="",1,0))</f>
        <v/>
      </c>
      <c r="V155" s="17" t="str">
        <f>IF(OR(TEXT(V$13,"ddd")="Sun",V$13="",$D155=""),"",IF('Leave Planner'!T156="",1,0))</f>
        <v/>
      </c>
      <c r="W155" s="17" t="str">
        <f>IF(OR(TEXT(W$13,"ddd")="Sun",W$13="",$D155=""),"",IF('Leave Planner'!U156="",1,0))</f>
        <v/>
      </c>
      <c r="X155" s="17" t="str">
        <f>IF(OR(TEXT(X$13,"ddd")="Sun",X$13="",$D155=""),"",IF('Leave Planner'!V156="",1,0))</f>
        <v/>
      </c>
      <c r="Y155" s="17" t="str">
        <f>IF(OR(TEXT(Y$13,"ddd")="Sun",Y$13="",$D155=""),"",IF('Leave Planner'!W156="",1,0))</f>
        <v/>
      </c>
      <c r="Z155" s="17" t="str">
        <f>IF(OR(TEXT(Z$13,"ddd")="Sun",Z$13="",$D155=""),"",IF('Leave Planner'!X156="",1,0))</f>
        <v/>
      </c>
      <c r="AA155" s="17" t="str">
        <f>IF(OR(TEXT(AA$13,"ddd")="Sun",AA$13="",$D155=""),"",IF('Leave Planner'!Y156="",1,0))</f>
        <v/>
      </c>
      <c r="AB155" s="17" t="str">
        <f>IF(OR(TEXT(AB$13,"ddd")="Sun",AB$13="",$D155=""),"",IF('Leave Planner'!Z156="",1,0))</f>
        <v/>
      </c>
      <c r="AC155" s="17" t="str">
        <f>IF(OR(TEXT(AC$13,"ddd")="Sun",AC$13="",$D155=""),"",IF('Leave Planner'!AA156="",1,0))</f>
        <v/>
      </c>
      <c r="AD155" s="17" t="str">
        <f>IF(OR(TEXT(AD$13,"ddd")="Sun",AD$13="",$D155=""),"",IF('Leave Planner'!AB156="",1,0))</f>
        <v/>
      </c>
      <c r="AE155" s="17" t="str">
        <f>IF(OR(TEXT(AE$13,"ddd")="Sun",AE$13="",$D155=""),"",IF('Leave Planner'!AC156="",1,0))</f>
        <v/>
      </c>
      <c r="AF155" s="17" t="str">
        <f>IF(OR(TEXT(AF$13,"ddd")="Sun",AF$13="",$D155=""),"",IF('Leave Planner'!AD156="",1,0))</f>
        <v/>
      </c>
      <c r="AG155" s="17" t="str">
        <f>IF(OR(TEXT(AG$13,"ddd")="Sun",AG$13="",$D155=""),"",IF('Leave Planner'!AE156="",1,0))</f>
        <v/>
      </c>
      <c r="AH155" s="17" t="str">
        <f>IF(OR(TEXT(AH$13,"ddd")="Sun",AH$13="",$D155=""),"",IF('Leave Planner'!AF156="",1,0))</f>
        <v/>
      </c>
      <c r="AI155" s="17" t="str">
        <f>IF(OR(TEXT(AI$13,"ddd")="Sun",AI$13="",$D155=""),"",IF('Leave Planner'!AG156="",1,0))</f>
        <v/>
      </c>
      <c r="AJ155" s="17" t="str">
        <f>IF(OR(TEXT(AJ$13,"ddd")="Sun",AJ$13="",$D155=""),"",IF('Leave Planner'!AH156="",1,0))</f>
        <v/>
      </c>
    </row>
    <row r="156" spans="2:36" x14ac:dyDescent="0.75">
      <c r="B156" s="15"/>
      <c r="C156" s="22"/>
      <c r="D156" s="22"/>
      <c r="E156" s="42" t="str">
        <f t="shared" si="7"/>
        <v/>
      </c>
      <c r="F156" s="17" t="str">
        <f>IF(OR(TEXT(F$13,"ddd")="Sun",F$13="",$D156=""),"",IF('Leave Planner'!D157="",1,0))</f>
        <v/>
      </c>
      <c r="G156" s="17" t="str">
        <f>IF(OR(TEXT(G$13,"ddd")="Sun",G$13="",$D156=""),"",IF('Leave Planner'!E157="",1,0))</f>
        <v/>
      </c>
      <c r="H156" s="17" t="str">
        <f>IF(OR(TEXT(H$13,"ddd")="Sun",H$13="",$D156=""),"",IF('Leave Planner'!F157="",1,0))</f>
        <v/>
      </c>
      <c r="I156" s="17" t="str">
        <f>IF(OR(TEXT(I$13,"ddd")="Sun",I$13="",$D156=""),"",IF('Leave Planner'!G157="",1,0))</f>
        <v/>
      </c>
      <c r="J156" s="17" t="str">
        <f>IF(OR(TEXT(J$13,"ddd")="Sun",J$13="",$D156=""),"",IF('Leave Planner'!H157="",1,0))</f>
        <v/>
      </c>
      <c r="K156" s="17" t="str">
        <f>IF(OR(TEXT(K$13,"ddd")="Sun",K$13="",$D156=""),"",IF('Leave Planner'!I157="",1,0))</f>
        <v/>
      </c>
      <c r="L156" s="17" t="str">
        <f>IF(OR(TEXT(L$13,"ddd")="Sun",L$13="",$D156=""),"",IF('Leave Planner'!J157="",1,0))</f>
        <v/>
      </c>
      <c r="M156" s="17" t="str">
        <f>IF(OR(TEXT(M$13,"ddd")="Sun",M$13="",$D156=""),"",IF('Leave Planner'!K157="",1,0))</f>
        <v/>
      </c>
      <c r="N156" s="17" t="str">
        <f>IF(OR(TEXT(N$13,"ddd")="Sun",N$13="",$D156=""),"",IF('Leave Planner'!L157="",1,0))</f>
        <v/>
      </c>
      <c r="O156" s="17" t="str">
        <f>IF(OR(TEXT(O$13,"ddd")="Sun",O$13="",$D156=""),"",IF('Leave Planner'!M157="",1,0))</f>
        <v/>
      </c>
      <c r="P156" s="17" t="str">
        <f>IF(OR(TEXT(P$13,"ddd")="Sun",P$13="",$D156=""),"",IF('Leave Planner'!N157="",1,0))</f>
        <v/>
      </c>
      <c r="Q156" s="17" t="str">
        <f>IF(OR(TEXT(Q$13,"ddd")="Sun",Q$13="",$D156=""),"",IF('Leave Planner'!O157="",1,0))</f>
        <v/>
      </c>
      <c r="R156" s="17" t="str">
        <f>IF(OR(TEXT(R$13,"ddd")="Sun",R$13="",$D156=""),"",IF('Leave Planner'!P157="",1,0))</f>
        <v/>
      </c>
      <c r="S156" s="17" t="str">
        <f>IF(OR(TEXT(S$13,"ddd")="Sun",S$13="",$D156=""),"",IF('Leave Planner'!Q157="",1,0))</f>
        <v/>
      </c>
      <c r="T156" s="17" t="str">
        <f>IF(OR(TEXT(T$13,"ddd")="Sun",T$13="",$D156=""),"",IF('Leave Planner'!R157="",1,0))</f>
        <v/>
      </c>
      <c r="U156" s="17" t="str">
        <f>IF(OR(TEXT(U$13,"ddd")="Sun",U$13="",$D156=""),"",IF('Leave Planner'!S157="",1,0))</f>
        <v/>
      </c>
      <c r="V156" s="17" t="str">
        <f>IF(OR(TEXT(V$13,"ddd")="Sun",V$13="",$D156=""),"",IF('Leave Planner'!T157="",1,0))</f>
        <v/>
      </c>
      <c r="W156" s="17" t="str">
        <f>IF(OR(TEXT(W$13,"ddd")="Sun",W$13="",$D156=""),"",IF('Leave Planner'!U157="",1,0))</f>
        <v/>
      </c>
      <c r="X156" s="17" t="str">
        <f>IF(OR(TEXT(X$13,"ddd")="Sun",X$13="",$D156=""),"",IF('Leave Planner'!V157="",1,0))</f>
        <v/>
      </c>
      <c r="Y156" s="17" t="str">
        <f>IF(OR(TEXT(Y$13,"ddd")="Sun",Y$13="",$D156=""),"",IF('Leave Planner'!W157="",1,0))</f>
        <v/>
      </c>
      <c r="Z156" s="17" t="str">
        <f>IF(OR(TEXT(Z$13,"ddd")="Sun",Z$13="",$D156=""),"",IF('Leave Planner'!X157="",1,0))</f>
        <v/>
      </c>
      <c r="AA156" s="17" t="str">
        <f>IF(OR(TEXT(AA$13,"ddd")="Sun",AA$13="",$D156=""),"",IF('Leave Planner'!Y157="",1,0))</f>
        <v/>
      </c>
      <c r="AB156" s="17" t="str">
        <f>IF(OR(TEXT(AB$13,"ddd")="Sun",AB$13="",$D156=""),"",IF('Leave Planner'!Z157="",1,0))</f>
        <v/>
      </c>
      <c r="AC156" s="17" t="str">
        <f>IF(OR(TEXT(AC$13,"ddd")="Sun",AC$13="",$D156=""),"",IF('Leave Planner'!AA157="",1,0))</f>
        <v/>
      </c>
      <c r="AD156" s="17" t="str">
        <f>IF(OR(TEXT(AD$13,"ddd")="Sun",AD$13="",$D156=""),"",IF('Leave Planner'!AB157="",1,0))</f>
        <v/>
      </c>
      <c r="AE156" s="17" t="str">
        <f>IF(OR(TEXT(AE$13,"ddd")="Sun",AE$13="",$D156=""),"",IF('Leave Planner'!AC157="",1,0))</f>
        <v/>
      </c>
      <c r="AF156" s="17" t="str">
        <f>IF(OR(TEXT(AF$13,"ddd")="Sun",AF$13="",$D156=""),"",IF('Leave Planner'!AD157="",1,0))</f>
        <v/>
      </c>
      <c r="AG156" s="17" t="str">
        <f>IF(OR(TEXT(AG$13,"ddd")="Sun",AG$13="",$D156=""),"",IF('Leave Planner'!AE157="",1,0))</f>
        <v/>
      </c>
      <c r="AH156" s="17" t="str">
        <f>IF(OR(TEXT(AH$13,"ddd")="Sun",AH$13="",$D156=""),"",IF('Leave Planner'!AF157="",1,0))</f>
        <v/>
      </c>
      <c r="AI156" s="17" t="str">
        <f>IF(OR(TEXT(AI$13,"ddd")="Sun",AI$13="",$D156=""),"",IF('Leave Planner'!AG157="",1,0))</f>
        <v/>
      </c>
      <c r="AJ156" s="17" t="str">
        <f>IF(OR(TEXT(AJ$13,"ddd")="Sun",AJ$13="",$D156=""),"",IF('Leave Planner'!AH157="",1,0))</f>
        <v/>
      </c>
    </row>
    <row r="157" spans="2:36" x14ac:dyDescent="0.75">
      <c r="B157" s="15"/>
      <c r="C157" s="22"/>
      <c r="D157" s="22"/>
      <c r="E157" s="42" t="str">
        <f t="shared" si="7"/>
        <v/>
      </c>
      <c r="F157" s="17" t="str">
        <f>IF(OR(TEXT(F$13,"ddd")="Sun",F$13="",$D157=""),"",IF('Leave Planner'!D158="",1,0))</f>
        <v/>
      </c>
      <c r="G157" s="17" t="str">
        <f>IF(OR(TEXT(G$13,"ddd")="Sun",G$13="",$D157=""),"",IF('Leave Planner'!E158="",1,0))</f>
        <v/>
      </c>
      <c r="H157" s="17" t="str">
        <f>IF(OR(TEXT(H$13,"ddd")="Sun",H$13="",$D157=""),"",IF('Leave Planner'!F158="",1,0))</f>
        <v/>
      </c>
      <c r="I157" s="17" t="str">
        <f>IF(OR(TEXT(I$13,"ddd")="Sun",I$13="",$D157=""),"",IF('Leave Planner'!G158="",1,0))</f>
        <v/>
      </c>
      <c r="J157" s="17" t="str">
        <f>IF(OR(TEXT(J$13,"ddd")="Sun",J$13="",$D157=""),"",IF('Leave Planner'!H158="",1,0))</f>
        <v/>
      </c>
      <c r="K157" s="17" t="str">
        <f>IF(OR(TEXT(K$13,"ddd")="Sun",K$13="",$D157=""),"",IF('Leave Planner'!I158="",1,0))</f>
        <v/>
      </c>
      <c r="L157" s="17" t="str">
        <f>IF(OR(TEXT(L$13,"ddd")="Sun",L$13="",$D157=""),"",IF('Leave Planner'!J158="",1,0))</f>
        <v/>
      </c>
      <c r="M157" s="17" t="str">
        <f>IF(OR(TEXT(M$13,"ddd")="Sun",M$13="",$D157=""),"",IF('Leave Planner'!K158="",1,0))</f>
        <v/>
      </c>
      <c r="N157" s="17" t="str">
        <f>IF(OR(TEXT(N$13,"ddd")="Sun",N$13="",$D157=""),"",IF('Leave Planner'!L158="",1,0))</f>
        <v/>
      </c>
      <c r="O157" s="17" t="str">
        <f>IF(OR(TEXT(O$13,"ddd")="Sun",O$13="",$D157=""),"",IF('Leave Planner'!M158="",1,0))</f>
        <v/>
      </c>
      <c r="P157" s="17" t="str">
        <f>IF(OR(TEXT(P$13,"ddd")="Sun",P$13="",$D157=""),"",IF('Leave Planner'!N158="",1,0))</f>
        <v/>
      </c>
      <c r="Q157" s="17" t="str">
        <f>IF(OR(TEXT(Q$13,"ddd")="Sun",Q$13="",$D157=""),"",IF('Leave Planner'!O158="",1,0))</f>
        <v/>
      </c>
      <c r="R157" s="17" t="str">
        <f>IF(OR(TEXT(R$13,"ddd")="Sun",R$13="",$D157=""),"",IF('Leave Planner'!P158="",1,0))</f>
        <v/>
      </c>
      <c r="S157" s="17" t="str">
        <f>IF(OR(TEXT(S$13,"ddd")="Sun",S$13="",$D157=""),"",IF('Leave Planner'!Q158="",1,0))</f>
        <v/>
      </c>
      <c r="T157" s="17" t="str">
        <f>IF(OR(TEXT(T$13,"ddd")="Sun",T$13="",$D157=""),"",IF('Leave Planner'!R158="",1,0))</f>
        <v/>
      </c>
      <c r="U157" s="17" t="str">
        <f>IF(OR(TEXT(U$13,"ddd")="Sun",U$13="",$D157=""),"",IF('Leave Planner'!S158="",1,0))</f>
        <v/>
      </c>
      <c r="V157" s="17" t="str">
        <f>IF(OR(TEXT(V$13,"ddd")="Sun",V$13="",$D157=""),"",IF('Leave Planner'!T158="",1,0))</f>
        <v/>
      </c>
      <c r="W157" s="17" t="str">
        <f>IF(OR(TEXT(W$13,"ddd")="Sun",W$13="",$D157=""),"",IF('Leave Planner'!U158="",1,0))</f>
        <v/>
      </c>
      <c r="X157" s="17" t="str">
        <f>IF(OR(TEXT(X$13,"ddd")="Sun",X$13="",$D157=""),"",IF('Leave Planner'!V158="",1,0))</f>
        <v/>
      </c>
      <c r="Y157" s="17" t="str">
        <f>IF(OR(TEXT(Y$13,"ddd")="Sun",Y$13="",$D157=""),"",IF('Leave Planner'!W158="",1,0))</f>
        <v/>
      </c>
      <c r="Z157" s="17" t="str">
        <f>IF(OR(TEXT(Z$13,"ddd")="Sun",Z$13="",$D157=""),"",IF('Leave Planner'!X158="",1,0))</f>
        <v/>
      </c>
      <c r="AA157" s="17" t="str">
        <f>IF(OR(TEXT(AA$13,"ddd")="Sun",AA$13="",$D157=""),"",IF('Leave Planner'!Y158="",1,0))</f>
        <v/>
      </c>
      <c r="AB157" s="17" t="str">
        <f>IF(OR(TEXT(AB$13,"ddd")="Sun",AB$13="",$D157=""),"",IF('Leave Planner'!Z158="",1,0))</f>
        <v/>
      </c>
      <c r="AC157" s="17" t="str">
        <f>IF(OR(TEXT(AC$13,"ddd")="Sun",AC$13="",$D157=""),"",IF('Leave Planner'!AA158="",1,0))</f>
        <v/>
      </c>
      <c r="AD157" s="17" t="str">
        <f>IF(OR(TEXT(AD$13,"ddd")="Sun",AD$13="",$D157=""),"",IF('Leave Planner'!AB158="",1,0))</f>
        <v/>
      </c>
      <c r="AE157" s="17" t="str">
        <f>IF(OR(TEXT(AE$13,"ddd")="Sun",AE$13="",$D157=""),"",IF('Leave Planner'!AC158="",1,0))</f>
        <v/>
      </c>
      <c r="AF157" s="17" t="str">
        <f>IF(OR(TEXT(AF$13,"ddd")="Sun",AF$13="",$D157=""),"",IF('Leave Planner'!AD158="",1,0))</f>
        <v/>
      </c>
      <c r="AG157" s="17" t="str">
        <f>IF(OR(TEXT(AG$13,"ddd")="Sun",AG$13="",$D157=""),"",IF('Leave Planner'!AE158="",1,0))</f>
        <v/>
      </c>
      <c r="AH157" s="17" t="str">
        <f>IF(OR(TEXT(AH$13,"ddd")="Sun",AH$13="",$D157=""),"",IF('Leave Planner'!AF158="",1,0))</f>
        <v/>
      </c>
      <c r="AI157" s="17" t="str">
        <f>IF(OR(TEXT(AI$13,"ddd")="Sun",AI$13="",$D157=""),"",IF('Leave Planner'!AG158="",1,0))</f>
        <v/>
      </c>
      <c r="AJ157" s="17" t="str">
        <f>IF(OR(TEXT(AJ$13,"ddd")="Sun",AJ$13="",$D157=""),"",IF('Leave Planner'!AH158="",1,0))</f>
        <v/>
      </c>
    </row>
    <row r="158" spans="2:36" x14ac:dyDescent="0.75">
      <c r="B158" s="15"/>
      <c r="C158" s="22"/>
      <c r="D158" s="22"/>
      <c r="E158" s="42" t="str">
        <f t="shared" si="7"/>
        <v/>
      </c>
      <c r="F158" s="17" t="str">
        <f>IF(OR(TEXT(F$13,"ddd")="Sun",F$13="",$D158=""),"",IF('Leave Planner'!D159="",1,0))</f>
        <v/>
      </c>
      <c r="G158" s="17" t="str">
        <f>IF(OR(TEXT(G$13,"ddd")="Sun",G$13="",$D158=""),"",IF('Leave Planner'!E159="",1,0))</f>
        <v/>
      </c>
      <c r="H158" s="17" t="str">
        <f>IF(OR(TEXT(H$13,"ddd")="Sun",H$13="",$D158=""),"",IF('Leave Planner'!F159="",1,0))</f>
        <v/>
      </c>
      <c r="I158" s="17" t="str">
        <f>IF(OR(TEXT(I$13,"ddd")="Sun",I$13="",$D158=""),"",IF('Leave Planner'!G159="",1,0))</f>
        <v/>
      </c>
      <c r="J158" s="17" t="str">
        <f>IF(OR(TEXT(J$13,"ddd")="Sun",J$13="",$D158=""),"",IF('Leave Planner'!H159="",1,0))</f>
        <v/>
      </c>
      <c r="K158" s="17" t="str">
        <f>IF(OR(TEXT(K$13,"ddd")="Sun",K$13="",$D158=""),"",IF('Leave Planner'!I159="",1,0))</f>
        <v/>
      </c>
      <c r="L158" s="17" t="str">
        <f>IF(OR(TEXT(L$13,"ddd")="Sun",L$13="",$D158=""),"",IF('Leave Planner'!J159="",1,0))</f>
        <v/>
      </c>
      <c r="M158" s="17" t="str">
        <f>IF(OR(TEXT(M$13,"ddd")="Sun",M$13="",$D158=""),"",IF('Leave Planner'!K159="",1,0))</f>
        <v/>
      </c>
      <c r="N158" s="17" t="str">
        <f>IF(OR(TEXT(N$13,"ddd")="Sun",N$13="",$D158=""),"",IF('Leave Planner'!L159="",1,0))</f>
        <v/>
      </c>
      <c r="O158" s="17" t="str">
        <f>IF(OR(TEXT(O$13,"ddd")="Sun",O$13="",$D158=""),"",IF('Leave Planner'!M159="",1,0))</f>
        <v/>
      </c>
      <c r="P158" s="17" t="str">
        <f>IF(OR(TEXT(P$13,"ddd")="Sun",P$13="",$D158=""),"",IF('Leave Planner'!N159="",1,0))</f>
        <v/>
      </c>
      <c r="Q158" s="17" t="str">
        <f>IF(OR(TEXT(Q$13,"ddd")="Sun",Q$13="",$D158=""),"",IF('Leave Planner'!O159="",1,0))</f>
        <v/>
      </c>
      <c r="R158" s="17" t="str">
        <f>IF(OR(TEXT(R$13,"ddd")="Sun",R$13="",$D158=""),"",IF('Leave Planner'!P159="",1,0))</f>
        <v/>
      </c>
      <c r="S158" s="17" t="str">
        <f>IF(OR(TEXT(S$13,"ddd")="Sun",S$13="",$D158=""),"",IF('Leave Planner'!Q159="",1,0))</f>
        <v/>
      </c>
      <c r="T158" s="17" t="str">
        <f>IF(OR(TEXT(T$13,"ddd")="Sun",T$13="",$D158=""),"",IF('Leave Planner'!R159="",1,0))</f>
        <v/>
      </c>
      <c r="U158" s="17" t="str">
        <f>IF(OR(TEXT(U$13,"ddd")="Sun",U$13="",$D158=""),"",IF('Leave Planner'!S159="",1,0))</f>
        <v/>
      </c>
      <c r="V158" s="17" t="str">
        <f>IF(OR(TEXT(V$13,"ddd")="Sun",V$13="",$D158=""),"",IF('Leave Planner'!T159="",1,0))</f>
        <v/>
      </c>
      <c r="W158" s="17" t="str">
        <f>IF(OR(TEXT(W$13,"ddd")="Sun",W$13="",$D158=""),"",IF('Leave Planner'!U159="",1,0))</f>
        <v/>
      </c>
      <c r="X158" s="17" t="str">
        <f>IF(OR(TEXT(X$13,"ddd")="Sun",X$13="",$D158=""),"",IF('Leave Planner'!V159="",1,0))</f>
        <v/>
      </c>
      <c r="Y158" s="17" t="str">
        <f>IF(OR(TEXT(Y$13,"ddd")="Sun",Y$13="",$D158=""),"",IF('Leave Planner'!W159="",1,0))</f>
        <v/>
      </c>
      <c r="Z158" s="17" t="str">
        <f>IF(OR(TEXT(Z$13,"ddd")="Sun",Z$13="",$D158=""),"",IF('Leave Planner'!X159="",1,0))</f>
        <v/>
      </c>
      <c r="AA158" s="17" t="str">
        <f>IF(OR(TEXT(AA$13,"ddd")="Sun",AA$13="",$D158=""),"",IF('Leave Planner'!Y159="",1,0))</f>
        <v/>
      </c>
      <c r="AB158" s="17" t="str">
        <f>IF(OR(TEXT(AB$13,"ddd")="Sun",AB$13="",$D158=""),"",IF('Leave Planner'!Z159="",1,0))</f>
        <v/>
      </c>
      <c r="AC158" s="17" t="str">
        <f>IF(OR(TEXT(AC$13,"ddd")="Sun",AC$13="",$D158=""),"",IF('Leave Planner'!AA159="",1,0))</f>
        <v/>
      </c>
      <c r="AD158" s="17" t="str">
        <f>IF(OR(TEXT(AD$13,"ddd")="Sun",AD$13="",$D158=""),"",IF('Leave Planner'!AB159="",1,0))</f>
        <v/>
      </c>
      <c r="AE158" s="17" t="str">
        <f>IF(OR(TEXT(AE$13,"ddd")="Sun",AE$13="",$D158=""),"",IF('Leave Planner'!AC159="",1,0))</f>
        <v/>
      </c>
      <c r="AF158" s="17" t="str">
        <f>IF(OR(TEXT(AF$13,"ddd")="Sun",AF$13="",$D158=""),"",IF('Leave Planner'!AD159="",1,0))</f>
        <v/>
      </c>
      <c r="AG158" s="17" t="str">
        <f>IF(OR(TEXT(AG$13,"ddd")="Sun",AG$13="",$D158=""),"",IF('Leave Planner'!AE159="",1,0))</f>
        <v/>
      </c>
      <c r="AH158" s="17" t="str">
        <f>IF(OR(TEXT(AH$13,"ddd")="Sun",AH$13="",$D158=""),"",IF('Leave Planner'!AF159="",1,0))</f>
        <v/>
      </c>
      <c r="AI158" s="17" t="str">
        <f>IF(OR(TEXT(AI$13,"ddd")="Sun",AI$13="",$D158=""),"",IF('Leave Planner'!AG159="",1,0))</f>
        <v/>
      </c>
      <c r="AJ158" s="17" t="str">
        <f>IF(OR(TEXT(AJ$13,"ddd")="Sun",AJ$13="",$D158=""),"",IF('Leave Planner'!AH159="",1,0))</f>
        <v/>
      </c>
    </row>
    <row r="159" spans="2:36" x14ac:dyDescent="0.75">
      <c r="B159" s="15"/>
      <c r="C159" s="22"/>
      <c r="D159" s="22"/>
      <c r="E159" s="42" t="str">
        <f t="shared" si="7"/>
        <v/>
      </c>
      <c r="F159" s="17" t="str">
        <f>IF(OR(TEXT(F$13,"ddd")="Sun",F$13="",$D159=""),"",IF('Leave Planner'!D160="",1,0))</f>
        <v/>
      </c>
      <c r="G159" s="17" t="str">
        <f>IF(OR(TEXT(G$13,"ddd")="Sun",G$13="",$D159=""),"",IF('Leave Planner'!E160="",1,0))</f>
        <v/>
      </c>
      <c r="H159" s="17" t="str">
        <f>IF(OR(TEXT(H$13,"ddd")="Sun",H$13="",$D159=""),"",IF('Leave Planner'!F160="",1,0))</f>
        <v/>
      </c>
      <c r="I159" s="17" t="str">
        <f>IF(OR(TEXT(I$13,"ddd")="Sun",I$13="",$D159=""),"",IF('Leave Planner'!G160="",1,0))</f>
        <v/>
      </c>
      <c r="J159" s="17" t="str">
        <f>IF(OR(TEXT(J$13,"ddd")="Sun",J$13="",$D159=""),"",IF('Leave Planner'!H160="",1,0))</f>
        <v/>
      </c>
      <c r="K159" s="17" t="str">
        <f>IF(OR(TEXT(K$13,"ddd")="Sun",K$13="",$D159=""),"",IF('Leave Planner'!I160="",1,0))</f>
        <v/>
      </c>
      <c r="L159" s="17" t="str">
        <f>IF(OR(TEXT(L$13,"ddd")="Sun",L$13="",$D159=""),"",IF('Leave Planner'!J160="",1,0))</f>
        <v/>
      </c>
      <c r="M159" s="17" t="str">
        <f>IF(OR(TEXT(M$13,"ddd")="Sun",M$13="",$D159=""),"",IF('Leave Planner'!K160="",1,0))</f>
        <v/>
      </c>
      <c r="N159" s="17" t="str">
        <f>IF(OR(TEXT(N$13,"ddd")="Sun",N$13="",$D159=""),"",IF('Leave Planner'!L160="",1,0))</f>
        <v/>
      </c>
      <c r="O159" s="17" t="str">
        <f>IF(OR(TEXT(O$13,"ddd")="Sun",O$13="",$D159=""),"",IF('Leave Planner'!M160="",1,0))</f>
        <v/>
      </c>
      <c r="P159" s="17" t="str">
        <f>IF(OR(TEXT(P$13,"ddd")="Sun",P$13="",$D159=""),"",IF('Leave Planner'!N160="",1,0))</f>
        <v/>
      </c>
      <c r="Q159" s="17" t="str">
        <f>IF(OR(TEXT(Q$13,"ddd")="Sun",Q$13="",$D159=""),"",IF('Leave Planner'!O160="",1,0))</f>
        <v/>
      </c>
      <c r="R159" s="17" t="str">
        <f>IF(OR(TEXT(R$13,"ddd")="Sun",R$13="",$D159=""),"",IF('Leave Planner'!P160="",1,0))</f>
        <v/>
      </c>
      <c r="S159" s="17" t="str">
        <f>IF(OR(TEXT(S$13,"ddd")="Sun",S$13="",$D159=""),"",IF('Leave Planner'!Q160="",1,0))</f>
        <v/>
      </c>
      <c r="T159" s="17" t="str">
        <f>IF(OR(TEXT(T$13,"ddd")="Sun",T$13="",$D159=""),"",IF('Leave Planner'!R160="",1,0))</f>
        <v/>
      </c>
      <c r="U159" s="17" t="str">
        <f>IF(OR(TEXT(U$13,"ddd")="Sun",U$13="",$D159=""),"",IF('Leave Planner'!S160="",1,0))</f>
        <v/>
      </c>
      <c r="V159" s="17" t="str">
        <f>IF(OR(TEXT(V$13,"ddd")="Sun",V$13="",$D159=""),"",IF('Leave Planner'!T160="",1,0))</f>
        <v/>
      </c>
      <c r="W159" s="17" t="str">
        <f>IF(OR(TEXT(W$13,"ddd")="Sun",W$13="",$D159=""),"",IF('Leave Planner'!U160="",1,0))</f>
        <v/>
      </c>
      <c r="X159" s="17" t="str">
        <f>IF(OR(TEXT(X$13,"ddd")="Sun",X$13="",$D159=""),"",IF('Leave Planner'!V160="",1,0))</f>
        <v/>
      </c>
      <c r="Y159" s="17" t="str">
        <f>IF(OR(TEXT(Y$13,"ddd")="Sun",Y$13="",$D159=""),"",IF('Leave Planner'!W160="",1,0))</f>
        <v/>
      </c>
      <c r="Z159" s="17" t="str">
        <f>IF(OR(TEXT(Z$13,"ddd")="Sun",Z$13="",$D159=""),"",IF('Leave Planner'!X160="",1,0))</f>
        <v/>
      </c>
      <c r="AA159" s="17" t="str">
        <f>IF(OR(TEXT(AA$13,"ddd")="Sun",AA$13="",$D159=""),"",IF('Leave Planner'!Y160="",1,0))</f>
        <v/>
      </c>
      <c r="AB159" s="17" t="str">
        <f>IF(OR(TEXT(AB$13,"ddd")="Sun",AB$13="",$D159=""),"",IF('Leave Planner'!Z160="",1,0))</f>
        <v/>
      </c>
      <c r="AC159" s="17" t="str">
        <f>IF(OR(TEXT(AC$13,"ddd")="Sun",AC$13="",$D159=""),"",IF('Leave Planner'!AA160="",1,0))</f>
        <v/>
      </c>
      <c r="AD159" s="17" t="str">
        <f>IF(OR(TEXT(AD$13,"ddd")="Sun",AD$13="",$D159=""),"",IF('Leave Planner'!AB160="",1,0))</f>
        <v/>
      </c>
      <c r="AE159" s="17" t="str">
        <f>IF(OR(TEXT(AE$13,"ddd")="Sun",AE$13="",$D159=""),"",IF('Leave Planner'!AC160="",1,0))</f>
        <v/>
      </c>
      <c r="AF159" s="17" t="str">
        <f>IF(OR(TEXT(AF$13,"ddd")="Sun",AF$13="",$D159=""),"",IF('Leave Planner'!AD160="",1,0))</f>
        <v/>
      </c>
      <c r="AG159" s="17" t="str">
        <f>IF(OR(TEXT(AG$13,"ddd")="Sun",AG$13="",$D159=""),"",IF('Leave Planner'!AE160="",1,0))</f>
        <v/>
      </c>
      <c r="AH159" s="17" t="str">
        <f>IF(OR(TEXT(AH$13,"ddd")="Sun",AH$13="",$D159=""),"",IF('Leave Planner'!AF160="",1,0))</f>
        <v/>
      </c>
      <c r="AI159" s="17" t="str">
        <f>IF(OR(TEXT(AI$13,"ddd")="Sun",AI$13="",$D159=""),"",IF('Leave Planner'!AG160="",1,0))</f>
        <v/>
      </c>
      <c r="AJ159" s="17" t="str">
        <f>IF(OR(TEXT(AJ$13,"ddd")="Sun",AJ$13="",$D159=""),"",IF('Leave Planner'!AH160="",1,0))</f>
        <v/>
      </c>
    </row>
    <row r="160" spans="2:36" x14ac:dyDescent="0.75">
      <c r="B160" s="15"/>
      <c r="C160" s="22"/>
      <c r="D160" s="22"/>
      <c r="E160" s="42" t="str">
        <f t="shared" si="7"/>
        <v/>
      </c>
      <c r="F160" s="17" t="str">
        <f>IF(OR(TEXT(F$13,"ddd")="Sun",F$13="",$D160=""),"",IF('Leave Planner'!D161="",1,0))</f>
        <v/>
      </c>
      <c r="G160" s="17" t="str">
        <f>IF(OR(TEXT(G$13,"ddd")="Sun",G$13="",$D160=""),"",IF('Leave Planner'!E161="",1,0))</f>
        <v/>
      </c>
      <c r="H160" s="17" t="str">
        <f>IF(OR(TEXT(H$13,"ddd")="Sun",H$13="",$D160=""),"",IF('Leave Planner'!F161="",1,0))</f>
        <v/>
      </c>
      <c r="I160" s="17" t="str">
        <f>IF(OR(TEXT(I$13,"ddd")="Sun",I$13="",$D160=""),"",IF('Leave Planner'!G161="",1,0))</f>
        <v/>
      </c>
      <c r="J160" s="17" t="str">
        <f>IF(OR(TEXT(J$13,"ddd")="Sun",J$13="",$D160=""),"",IF('Leave Planner'!H161="",1,0))</f>
        <v/>
      </c>
      <c r="K160" s="17" t="str">
        <f>IF(OR(TEXT(K$13,"ddd")="Sun",K$13="",$D160=""),"",IF('Leave Planner'!I161="",1,0))</f>
        <v/>
      </c>
      <c r="L160" s="17" t="str">
        <f>IF(OR(TEXT(L$13,"ddd")="Sun",L$13="",$D160=""),"",IF('Leave Planner'!J161="",1,0))</f>
        <v/>
      </c>
      <c r="M160" s="17" t="str">
        <f>IF(OR(TEXT(M$13,"ddd")="Sun",M$13="",$D160=""),"",IF('Leave Planner'!K161="",1,0))</f>
        <v/>
      </c>
      <c r="N160" s="17" t="str">
        <f>IF(OR(TEXT(N$13,"ddd")="Sun",N$13="",$D160=""),"",IF('Leave Planner'!L161="",1,0))</f>
        <v/>
      </c>
      <c r="O160" s="17" t="str">
        <f>IF(OR(TEXT(O$13,"ddd")="Sun",O$13="",$D160=""),"",IF('Leave Planner'!M161="",1,0))</f>
        <v/>
      </c>
      <c r="P160" s="17" t="str">
        <f>IF(OR(TEXT(P$13,"ddd")="Sun",P$13="",$D160=""),"",IF('Leave Planner'!N161="",1,0))</f>
        <v/>
      </c>
      <c r="Q160" s="17" t="str">
        <f>IF(OR(TEXT(Q$13,"ddd")="Sun",Q$13="",$D160=""),"",IF('Leave Planner'!O161="",1,0))</f>
        <v/>
      </c>
      <c r="R160" s="17" t="str">
        <f>IF(OR(TEXT(R$13,"ddd")="Sun",R$13="",$D160=""),"",IF('Leave Planner'!P161="",1,0))</f>
        <v/>
      </c>
      <c r="S160" s="17" t="str">
        <f>IF(OR(TEXT(S$13,"ddd")="Sun",S$13="",$D160=""),"",IF('Leave Planner'!Q161="",1,0))</f>
        <v/>
      </c>
      <c r="T160" s="17" t="str">
        <f>IF(OR(TEXT(T$13,"ddd")="Sun",T$13="",$D160=""),"",IF('Leave Planner'!R161="",1,0))</f>
        <v/>
      </c>
      <c r="U160" s="17" t="str">
        <f>IF(OR(TEXT(U$13,"ddd")="Sun",U$13="",$D160=""),"",IF('Leave Planner'!S161="",1,0))</f>
        <v/>
      </c>
      <c r="V160" s="17" t="str">
        <f>IF(OR(TEXT(V$13,"ddd")="Sun",V$13="",$D160=""),"",IF('Leave Planner'!T161="",1,0))</f>
        <v/>
      </c>
      <c r="W160" s="17" t="str">
        <f>IF(OR(TEXT(W$13,"ddd")="Sun",W$13="",$D160=""),"",IF('Leave Planner'!U161="",1,0))</f>
        <v/>
      </c>
      <c r="X160" s="17" t="str">
        <f>IF(OR(TEXT(X$13,"ddd")="Sun",X$13="",$D160=""),"",IF('Leave Planner'!V161="",1,0))</f>
        <v/>
      </c>
      <c r="Y160" s="17" t="str">
        <f>IF(OR(TEXT(Y$13,"ddd")="Sun",Y$13="",$D160=""),"",IF('Leave Planner'!W161="",1,0))</f>
        <v/>
      </c>
      <c r="Z160" s="17" t="str">
        <f>IF(OR(TEXT(Z$13,"ddd")="Sun",Z$13="",$D160=""),"",IF('Leave Planner'!X161="",1,0))</f>
        <v/>
      </c>
      <c r="AA160" s="17" t="str">
        <f>IF(OR(TEXT(AA$13,"ddd")="Sun",AA$13="",$D160=""),"",IF('Leave Planner'!Y161="",1,0))</f>
        <v/>
      </c>
      <c r="AB160" s="17" t="str">
        <f>IF(OR(TEXT(AB$13,"ddd")="Sun",AB$13="",$D160=""),"",IF('Leave Planner'!Z161="",1,0))</f>
        <v/>
      </c>
      <c r="AC160" s="17" t="str">
        <f>IF(OR(TEXT(AC$13,"ddd")="Sun",AC$13="",$D160=""),"",IF('Leave Planner'!AA161="",1,0))</f>
        <v/>
      </c>
      <c r="AD160" s="17" t="str">
        <f>IF(OR(TEXT(AD$13,"ddd")="Sun",AD$13="",$D160=""),"",IF('Leave Planner'!AB161="",1,0))</f>
        <v/>
      </c>
      <c r="AE160" s="17" t="str">
        <f>IF(OR(TEXT(AE$13,"ddd")="Sun",AE$13="",$D160=""),"",IF('Leave Planner'!AC161="",1,0))</f>
        <v/>
      </c>
      <c r="AF160" s="17" t="str">
        <f>IF(OR(TEXT(AF$13,"ddd")="Sun",AF$13="",$D160=""),"",IF('Leave Planner'!AD161="",1,0))</f>
        <v/>
      </c>
      <c r="AG160" s="17" t="str">
        <f>IF(OR(TEXT(AG$13,"ddd")="Sun",AG$13="",$D160=""),"",IF('Leave Planner'!AE161="",1,0))</f>
        <v/>
      </c>
      <c r="AH160" s="17" t="str">
        <f>IF(OR(TEXT(AH$13,"ddd")="Sun",AH$13="",$D160=""),"",IF('Leave Planner'!AF161="",1,0))</f>
        <v/>
      </c>
      <c r="AI160" s="17" t="str">
        <f>IF(OR(TEXT(AI$13,"ddd")="Sun",AI$13="",$D160=""),"",IF('Leave Planner'!AG161="",1,0))</f>
        <v/>
      </c>
      <c r="AJ160" s="17" t="str">
        <f>IF(OR(TEXT(AJ$13,"ddd")="Sun",AJ$13="",$D160=""),"",IF('Leave Planner'!AH161="",1,0))</f>
        <v/>
      </c>
    </row>
    <row r="161" spans="2:36" x14ac:dyDescent="0.75">
      <c r="B161" s="15"/>
      <c r="C161" s="22"/>
      <c r="D161" s="22"/>
      <c r="E161" s="42" t="str">
        <f t="shared" si="7"/>
        <v/>
      </c>
      <c r="F161" s="17" t="str">
        <f>IF(OR(TEXT(F$13,"ddd")="Sun",F$13="",$D161=""),"",IF('Leave Planner'!D162="",1,0))</f>
        <v/>
      </c>
      <c r="G161" s="17" t="str">
        <f>IF(OR(TEXT(G$13,"ddd")="Sun",G$13="",$D161=""),"",IF('Leave Planner'!E162="",1,0))</f>
        <v/>
      </c>
      <c r="H161" s="17" t="str">
        <f>IF(OR(TEXT(H$13,"ddd")="Sun",H$13="",$D161=""),"",IF('Leave Planner'!F162="",1,0))</f>
        <v/>
      </c>
      <c r="I161" s="17" t="str">
        <f>IF(OR(TEXT(I$13,"ddd")="Sun",I$13="",$D161=""),"",IF('Leave Planner'!G162="",1,0))</f>
        <v/>
      </c>
      <c r="J161" s="17" t="str">
        <f>IF(OR(TEXT(J$13,"ddd")="Sun",J$13="",$D161=""),"",IF('Leave Planner'!H162="",1,0))</f>
        <v/>
      </c>
      <c r="K161" s="17" t="str">
        <f>IF(OR(TEXT(K$13,"ddd")="Sun",K$13="",$D161=""),"",IF('Leave Planner'!I162="",1,0))</f>
        <v/>
      </c>
      <c r="L161" s="17" t="str">
        <f>IF(OR(TEXT(L$13,"ddd")="Sun",L$13="",$D161=""),"",IF('Leave Planner'!J162="",1,0))</f>
        <v/>
      </c>
      <c r="M161" s="17" t="str">
        <f>IF(OR(TEXT(M$13,"ddd")="Sun",M$13="",$D161=""),"",IF('Leave Planner'!K162="",1,0))</f>
        <v/>
      </c>
      <c r="N161" s="17" t="str">
        <f>IF(OR(TEXT(N$13,"ddd")="Sun",N$13="",$D161=""),"",IF('Leave Planner'!L162="",1,0))</f>
        <v/>
      </c>
      <c r="O161" s="17" t="str">
        <f>IF(OR(TEXT(O$13,"ddd")="Sun",O$13="",$D161=""),"",IF('Leave Planner'!M162="",1,0))</f>
        <v/>
      </c>
      <c r="P161" s="17" t="str">
        <f>IF(OR(TEXT(P$13,"ddd")="Sun",P$13="",$D161=""),"",IF('Leave Planner'!N162="",1,0))</f>
        <v/>
      </c>
      <c r="Q161" s="17" t="str">
        <f>IF(OR(TEXT(Q$13,"ddd")="Sun",Q$13="",$D161=""),"",IF('Leave Planner'!O162="",1,0))</f>
        <v/>
      </c>
      <c r="R161" s="17" t="str">
        <f>IF(OR(TEXT(R$13,"ddd")="Sun",R$13="",$D161=""),"",IF('Leave Planner'!P162="",1,0))</f>
        <v/>
      </c>
      <c r="S161" s="17" t="str">
        <f>IF(OR(TEXT(S$13,"ddd")="Sun",S$13="",$D161=""),"",IF('Leave Planner'!Q162="",1,0))</f>
        <v/>
      </c>
      <c r="T161" s="17" t="str">
        <f>IF(OR(TEXT(T$13,"ddd")="Sun",T$13="",$D161=""),"",IF('Leave Planner'!R162="",1,0))</f>
        <v/>
      </c>
      <c r="U161" s="17" t="str">
        <f>IF(OR(TEXT(U$13,"ddd")="Sun",U$13="",$D161=""),"",IF('Leave Planner'!S162="",1,0))</f>
        <v/>
      </c>
      <c r="V161" s="17" t="str">
        <f>IF(OR(TEXT(V$13,"ddd")="Sun",V$13="",$D161=""),"",IF('Leave Planner'!T162="",1,0))</f>
        <v/>
      </c>
      <c r="W161" s="17" t="str">
        <f>IF(OR(TEXT(W$13,"ddd")="Sun",W$13="",$D161=""),"",IF('Leave Planner'!U162="",1,0))</f>
        <v/>
      </c>
      <c r="X161" s="17" t="str">
        <f>IF(OR(TEXT(X$13,"ddd")="Sun",X$13="",$D161=""),"",IF('Leave Planner'!V162="",1,0))</f>
        <v/>
      </c>
      <c r="Y161" s="17" t="str">
        <f>IF(OR(TEXT(Y$13,"ddd")="Sun",Y$13="",$D161=""),"",IF('Leave Planner'!W162="",1,0))</f>
        <v/>
      </c>
      <c r="Z161" s="17" t="str">
        <f>IF(OR(TEXT(Z$13,"ddd")="Sun",Z$13="",$D161=""),"",IF('Leave Planner'!X162="",1,0))</f>
        <v/>
      </c>
      <c r="AA161" s="17" t="str">
        <f>IF(OR(TEXT(AA$13,"ddd")="Sun",AA$13="",$D161=""),"",IF('Leave Planner'!Y162="",1,0))</f>
        <v/>
      </c>
      <c r="AB161" s="17" t="str">
        <f>IF(OR(TEXT(AB$13,"ddd")="Sun",AB$13="",$D161=""),"",IF('Leave Planner'!Z162="",1,0))</f>
        <v/>
      </c>
      <c r="AC161" s="17" t="str">
        <f>IF(OR(TEXT(AC$13,"ddd")="Sun",AC$13="",$D161=""),"",IF('Leave Planner'!AA162="",1,0))</f>
        <v/>
      </c>
      <c r="AD161" s="17" t="str">
        <f>IF(OR(TEXT(AD$13,"ddd")="Sun",AD$13="",$D161=""),"",IF('Leave Planner'!AB162="",1,0))</f>
        <v/>
      </c>
      <c r="AE161" s="17" t="str">
        <f>IF(OR(TEXT(AE$13,"ddd")="Sun",AE$13="",$D161=""),"",IF('Leave Planner'!AC162="",1,0))</f>
        <v/>
      </c>
      <c r="AF161" s="17" t="str">
        <f>IF(OR(TEXT(AF$13,"ddd")="Sun",AF$13="",$D161=""),"",IF('Leave Planner'!AD162="",1,0))</f>
        <v/>
      </c>
      <c r="AG161" s="17" t="str">
        <f>IF(OR(TEXT(AG$13,"ddd")="Sun",AG$13="",$D161=""),"",IF('Leave Planner'!AE162="",1,0))</f>
        <v/>
      </c>
      <c r="AH161" s="17" t="str">
        <f>IF(OR(TEXT(AH$13,"ddd")="Sun",AH$13="",$D161=""),"",IF('Leave Planner'!AF162="",1,0))</f>
        <v/>
      </c>
      <c r="AI161" s="17" t="str">
        <f>IF(OR(TEXT(AI$13,"ddd")="Sun",AI$13="",$D161=""),"",IF('Leave Planner'!AG162="",1,0))</f>
        <v/>
      </c>
      <c r="AJ161" s="17" t="str">
        <f>IF(OR(TEXT(AJ$13,"ddd")="Sun",AJ$13="",$D161=""),"",IF('Leave Planner'!AH162="",1,0))</f>
        <v/>
      </c>
    </row>
    <row r="162" spans="2:36" x14ac:dyDescent="0.75">
      <c r="B162" s="15"/>
      <c r="C162" s="22"/>
      <c r="D162" s="22"/>
      <c r="E162" s="42" t="str">
        <f t="shared" si="7"/>
        <v/>
      </c>
      <c r="F162" s="17" t="str">
        <f>IF(OR(TEXT(F$13,"ddd")="Sun",F$13="",$D162=""),"",IF('Leave Planner'!D163="",1,0))</f>
        <v/>
      </c>
      <c r="G162" s="17" t="str">
        <f>IF(OR(TEXT(G$13,"ddd")="Sun",G$13="",$D162=""),"",IF('Leave Planner'!E163="",1,0))</f>
        <v/>
      </c>
      <c r="H162" s="17" t="str">
        <f>IF(OR(TEXT(H$13,"ddd")="Sun",H$13="",$D162=""),"",IF('Leave Planner'!F163="",1,0))</f>
        <v/>
      </c>
      <c r="I162" s="17" t="str">
        <f>IF(OR(TEXT(I$13,"ddd")="Sun",I$13="",$D162=""),"",IF('Leave Planner'!G163="",1,0))</f>
        <v/>
      </c>
      <c r="J162" s="17" t="str">
        <f>IF(OR(TEXT(J$13,"ddd")="Sun",J$13="",$D162=""),"",IF('Leave Planner'!H163="",1,0))</f>
        <v/>
      </c>
      <c r="K162" s="17" t="str">
        <f>IF(OR(TEXT(K$13,"ddd")="Sun",K$13="",$D162=""),"",IF('Leave Planner'!I163="",1,0))</f>
        <v/>
      </c>
      <c r="L162" s="17" t="str">
        <f>IF(OR(TEXT(L$13,"ddd")="Sun",L$13="",$D162=""),"",IF('Leave Planner'!J163="",1,0))</f>
        <v/>
      </c>
      <c r="M162" s="17" t="str">
        <f>IF(OR(TEXT(M$13,"ddd")="Sun",M$13="",$D162=""),"",IF('Leave Planner'!K163="",1,0))</f>
        <v/>
      </c>
      <c r="N162" s="17" t="str">
        <f>IF(OR(TEXT(N$13,"ddd")="Sun",N$13="",$D162=""),"",IF('Leave Planner'!L163="",1,0))</f>
        <v/>
      </c>
      <c r="O162" s="17" t="str">
        <f>IF(OR(TEXT(O$13,"ddd")="Sun",O$13="",$D162=""),"",IF('Leave Planner'!M163="",1,0))</f>
        <v/>
      </c>
      <c r="P162" s="17" t="str">
        <f>IF(OR(TEXT(P$13,"ddd")="Sun",P$13="",$D162=""),"",IF('Leave Planner'!N163="",1,0))</f>
        <v/>
      </c>
      <c r="Q162" s="17" t="str">
        <f>IF(OR(TEXT(Q$13,"ddd")="Sun",Q$13="",$D162=""),"",IF('Leave Planner'!O163="",1,0))</f>
        <v/>
      </c>
      <c r="R162" s="17" t="str">
        <f>IF(OR(TEXT(R$13,"ddd")="Sun",R$13="",$D162=""),"",IF('Leave Planner'!P163="",1,0))</f>
        <v/>
      </c>
      <c r="S162" s="17" t="str">
        <f>IF(OR(TEXT(S$13,"ddd")="Sun",S$13="",$D162=""),"",IF('Leave Planner'!Q163="",1,0))</f>
        <v/>
      </c>
      <c r="T162" s="17" t="str">
        <f>IF(OR(TEXT(T$13,"ddd")="Sun",T$13="",$D162=""),"",IF('Leave Planner'!R163="",1,0))</f>
        <v/>
      </c>
      <c r="U162" s="17" t="str">
        <f>IF(OR(TEXT(U$13,"ddd")="Sun",U$13="",$D162=""),"",IF('Leave Planner'!S163="",1,0))</f>
        <v/>
      </c>
      <c r="V162" s="17" t="str">
        <f>IF(OR(TEXT(V$13,"ddd")="Sun",V$13="",$D162=""),"",IF('Leave Planner'!T163="",1,0))</f>
        <v/>
      </c>
      <c r="W162" s="17" t="str">
        <f>IF(OR(TEXT(W$13,"ddd")="Sun",W$13="",$D162=""),"",IF('Leave Planner'!U163="",1,0))</f>
        <v/>
      </c>
      <c r="X162" s="17" t="str">
        <f>IF(OR(TEXT(X$13,"ddd")="Sun",X$13="",$D162=""),"",IF('Leave Planner'!V163="",1,0))</f>
        <v/>
      </c>
      <c r="Y162" s="17" t="str">
        <f>IF(OR(TEXT(Y$13,"ddd")="Sun",Y$13="",$D162=""),"",IF('Leave Planner'!W163="",1,0))</f>
        <v/>
      </c>
      <c r="Z162" s="17" t="str">
        <f>IF(OR(TEXT(Z$13,"ddd")="Sun",Z$13="",$D162=""),"",IF('Leave Planner'!X163="",1,0))</f>
        <v/>
      </c>
      <c r="AA162" s="17" t="str">
        <f>IF(OR(TEXT(AA$13,"ddd")="Sun",AA$13="",$D162=""),"",IF('Leave Planner'!Y163="",1,0))</f>
        <v/>
      </c>
      <c r="AB162" s="17" t="str">
        <f>IF(OR(TEXT(AB$13,"ddd")="Sun",AB$13="",$D162=""),"",IF('Leave Planner'!Z163="",1,0))</f>
        <v/>
      </c>
      <c r="AC162" s="17" t="str">
        <f>IF(OR(TEXT(AC$13,"ddd")="Sun",AC$13="",$D162=""),"",IF('Leave Planner'!AA163="",1,0))</f>
        <v/>
      </c>
      <c r="AD162" s="17" t="str">
        <f>IF(OR(TEXT(AD$13,"ddd")="Sun",AD$13="",$D162=""),"",IF('Leave Planner'!AB163="",1,0))</f>
        <v/>
      </c>
      <c r="AE162" s="17" t="str">
        <f>IF(OR(TEXT(AE$13,"ddd")="Sun",AE$13="",$D162=""),"",IF('Leave Planner'!AC163="",1,0))</f>
        <v/>
      </c>
      <c r="AF162" s="17" t="str">
        <f>IF(OR(TEXT(AF$13,"ddd")="Sun",AF$13="",$D162=""),"",IF('Leave Planner'!AD163="",1,0))</f>
        <v/>
      </c>
      <c r="AG162" s="17" t="str">
        <f>IF(OR(TEXT(AG$13,"ddd")="Sun",AG$13="",$D162=""),"",IF('Leave Planner'!AE163="",1,0))</f>
        <v/>
      </c>
      <c r="AH162" s="17" t="str">
        <f>IF(OR(TEXT(AH$13,"ddd")="Sun",AH$13="",$D162=""),"",IF('Leave Planner'!AF163="",1,0))</f>
        <v/>
      </c>
      <c r="AI162" s="17" t="str">
        <f>IF(OR(TEXT(AI$13,"ddd")="Sun",AI$13="",$D162=""),"",IF('Leave Planner'!AG163="",1,0))</f>
        <v/>
      </c>
      <c r="AJ162" s="17" t="str">
        <f>IF(OR(TEXT(AJ$13,"ddd")="Sun",AJ$13="",$D162=""),"",IF('Leave Planner'!AH163="",1,0))</f>
        <v/>
      </c>
    </row>
    <row r="163" spans="2:36" x14ac:dyDescent="0.75">
      <c r="B163" s="15"/>
      <c r="C163" s="22"/>
      <c r="D163" s="22"/>
      <c r="E163" s="42" t="str">
        <f t="shared" si="7"/>
        <v/>
      </c>
      <c r="F163" s="17" t="str">
        <f>IF(OR(TEXT(F$13,"ddd")="Sun",F$13="",$D163=""),"",IF('Leave Planner'!D164="",1,0))</f>
        <v/>
      </c>
      <c r="G163" s="17" t="str">
        <f>IF(OR(TEXT(G$13,"ddd")="Sun",G$13="",$D163=""),"",IF('Leave Planner'!E164="",1,0))</f>
        <v/>
      </c>
      <c r="H163" s="17" t="str">
        <f>IF(OR(TEXT(H$13,"ddd")="Sun",H$13="",$D163=""),"",IF('Leave Planner'!F164="",1,0))</f>
        <v/>
      </c>
      <c r="I163" s="17" t="str">
        <f>IF(OR(TEXT(I$13,"ddd")="Sun",I$13="",$D163=""),"",IF('Leave Planner'!G164="",1,0))</f>
        <v/>
      </c>
      <c r="J163" s="17" t="str">
        <f>IF(OR(TEXT(J$13,"ddd")="Sun",J$13="",$D163=""),"",IF('Leave Planner'!H164="",1,0))</f>
        <v/>
      </c>
      <c r="K163" s="17" t="str">
        <f>IF(OR(TEXT(K$13,"ddd")="Sun",K$13="",$D163=""),"",IF('Leave Planner'!I164="",1,0))</f>
        <v/>
      </c>
      <c r="L163" s="17" t="str">
        <f>IF(OR(TEXT(L$13,"ddd")="Sun",L$13="",$D163=""),"",IF('Leave Planner'!J164="",1,0))</f>
        <v/>
      </c>
      <c r="M163" s="17" t="str">
        <f>IF(OR(TEXT(M$13,"ddd")="Sun",M$13="",$D163=""),"",IF('Leave Planner'!K164="",1,0))</f>
        <v/>
      </c>
      <c r="N163" s="17" t="str">
        <f>IF(OR(TEXT(N$13,"ddd")="Sun",N$13="",$D163=""),"",IF('Leave Planner'!L164="",1,0))</f>
        <v/>
      </c>
      <c r="O163" s="17" t="str">
        <f>IF(OR(TEXT(O$13,"ddd")="Sun",O$13="",$D163=""),"",IF('Leave Planner'!M164="",1,0))</f>
        <v/>
      </c>
      <c r="P163" s="17" t="str">
        <f>IF(OR(TEXT(P$13,"ddd")="Sun",P$13="",$D163=""),"",IF('Leave Planner'!N164="",1,0))</f>
        <v/>
      </c>
      <c r="Q163" s="17" t="str">
        <f>IF(OR(TEXT(Q$13,"ddd")="Sun",Q$13="",$D163=""),"",IF('Leave Planner'!O164="",1,0))</f>
        <v/>
      </c>
      <c r="R163" s="17" t="str">
        <f>IF(OR(TEXT(R$13,"ddd")="Sun",R$13="",$D163=""),"",IF('Leave Planner'!P164="",1,0))</f>
        <v/>
      </c>
      <c r="S163" s="17" t="str">
        <f>IF(OR(TEXT(S$13,"ddd")="Sun",S$13="",$D163=""),"",IF('Leave Planner'!Q164="",1,0))</f>
        <v/>
      </c>
      <c r="T163" s="17" t="str">
        <f>IF(OR(TEXT(T$13,"ddd")="Sun",T$13="",$D163=""),"",IF('Leave Planner'!R164="",1,0))</f>
        <v/>
      </c>
      <c r="U163" s="17" t="str">
        <f>IF(OR(TEXT(U$13,"ddd")="Sun",U$13="",$D163=""),"",IF('Leave Planner'!S164="",1,0))</f>
        <v/>
      </c>
      <c r="V163" s="17" t="str">
        <f>IF(OR(TEXT(V$13,"ddd")="Sun",V$13="",$D163=""),"",IF('Leave Planner'!T164="",1,0))</f>
        <v/>
      </c>
      <c r="W163" s="17" t="str">
        <f>IF(OR(TEXT(W$13,"ddd")="Sun",W$13="",$D163=""),"",IF('Leave Planner'!U164="",1,0))</f>
        <v/>
      </c>
      <c r="X163" s="17" t="str">
        <f>IF(OR(TEXT(X$13,"ddd")="Sun",X$13="",$D163=""),"",IF('Leave Planner'!V164="",1,0))</f>
        <v/>
      </c>
      <c r="Y163" s="17" t="str">
        <f>IF(OR(TEXT(Y$13,"ddd")="Sun",Y$13="",$D163=""),"",IF('Leave Planner'!W164="",1,0))</f>
        <v/>
      </c>
      <c r="Z163" s="17" t="str">
        <f>IF(OR(TEXT(Z$13,"ddd")="Sun",Z$13="",$D163=""),"",IF('Leave Planner'!X164="",1,0))</f>
        <v/>
      </c>
      <c r="AA163" s="17" t="str">
        <f>IF(OR(TEXT(AA$13,"ddd")="Sun",AA$13="",$D163=""),"",IF('Leave Planner'!Y164="",1,0))</f>
        <v/>
      </c>
      <c r="AB163" s="17" t="str">
        <f>IF(OR(TEXT(AB$13,"ddd")="Sun",AB$13="",$D163=""),"",IF('Leave Planner'!Z164="",1,0))</f>
        <v/>
      </c>
      <c r="AC163" s="17" t="str">
        <f>IF(OR(TEXT(AC$13,"ddd")="Sun",AC$13="",$D163=""),"",IF('Leave Planner'!AA164="",1,0))</f>
        <v/>
      </c>
      <c r="AD163" s="17" t="str">
        <f>IF(OR(TEXT(AD$13,"ddd")="Sun",AD$13="",$D163=""),"",IF('Leave Planner'!AB164="",1,0))</f>
        <v/>
      </c>
      <c r="AE163" s="17" t="str">
        <f>IF(OR(TEXT(AE$13,"ddd")="Sun",AE$13="",$D163=""),"",IF('Leave Planner'!AC164="",1,0))</f>
        <v/>
      </c>
      <c r="AF163" s="17" t="str">
        <f>IF(OR(TEXT(AF$13,"ddd")="Sun",AF$13="",$D163=""),"",IF('Leave Planner'!AD164="",1,0))</f>
        <v/>
      </c>
      <c r="AG163" s="17" t="str">
        <f>IF(OR(TEXT(AG$13,"ddd")="Sun",AG$13="",$D163=""),"",IF('Leave Planner'!AE164="",1,0))</f>
        <v/>
      </c>
      <c r="AH163" s="17" t="str">
        <f>IF(OR(TEXT(AH$13,"ddd")="Sun",AH$13="",$D163=""),"",IF('Leave Planner'!AF164="",1,0))</f>
        <v/>
      </c>
      <c r="AI163" s="17" t="str">
        <f>IF(OR(TEXT(AI$13,"ddd")="Sun",AI$13="",$D163=""),"",IF('Leave Planner'!AG164="",1,0))</f>
        <v/>
      </c>
      <c r="AJ163" s="17" t="str">
        <f>IF(OR(TEXT(AJ$13,"ddd")="Sun",AJ$13="",$D163=""),"",IF('Leave Planner'!AH164="",1,0))</f>
        <v/>
      </c>
    </row>
    <row r="164" spans="2:36" x14ac:dyDescent="0.75">
      <c r="B164" s="15"/>
      <c r="C164" s="22"/>
      <c r="D164" s="22"/>
      <c r="E164" s="42" t="str">
        <f t="shared" si="7"/>
        <v/>
      </c>
      <c r="F164" s="17" t="str">
        <f>IF(OR(TEXT(F$13,"ddd")="Sun",F$13="",$D164=""),"",IF('Leave Planner'!D165="",1,0))</f>
        <v/>
      </c>
      <c r="G164" s="17" t="str">
        <f>IF(OR(TEXT(G$13,"ddd")="Sun",G$13="",$D164=""),"",IF('Leave Planner'!E165="",1,0))</f>
        <v/>
      </c>
      <c r="H164" s="17" t="str">
        <f>IF(OR(TEXT(H$13,"ddd")="Sun",H$13="",$D164=""),"",IF('Leave Planner'!F165="",1,0))</f>
        <v/>
      </c>
      <c r="I164" s="17" t="str">
        <f>IF(OR(TEXT(I$13,"ddd")="Sun",I$13="",$D164=""),"",IF('Leave Planner'!G165="",1,0))</f>
        <v/>
      </c>
      <c r="J164" s="17" t="str">
        <f>IF(OR(TEXT(J$13,"ddd")="Sun",J$13="",$D164=""),"",IF('Leave Planner'!H165="",1,0))</f>
        <v/>
      </c>
      <c r="K164" s="17" t="str">
        <f>IF(OR(TEXT(K$13,"ddd")="Sun",K$13="",$D164=""),"",IF('Leave Planner'!I165="",1,0))</f>
        <v/>
      </c>
      <c r="L164" s="17" t="str">
        <f>IF(OR(TEXT(L$13,"ddd")="Sun",L$13="",$D164=""),"",IF('Leave Planner'!J165="",1,0))</f>
        <v/>
      </c>
      <c r="M164" s="17" t="str">
        <f>IF(OR(TEXT(M$13,"ddd")="Sun",M$13="",$D164=""),"",IF('Leave Planner'!K165="",1,0))</f>
        <v/>
      </c>
      <c r="N164" s="17" t="str">
        <f>IF(OR(TEXT(N$13,"ddd")="Sun",N$13="",$D164=""),"",IF('Leave Planner'!L165="",1,0))</f>
        <v/>
      </c>
      <c r="O164" s="17" t="str">
        <f>IF(OR(TEXT(O$13,"ddd")="Sun",O$13="",$D164=""),"",IF('Leave Planner'!M165="",1,0))</f>
        <v/>
      </c>
      <c r="P164" s="17" t="str">
        <f>IF(OR(TEXT(P$13,"ddd")="Sun",P$13="",$D164=""),"",IF('Leave Planner'!N165="",1,0))</f>
        <v/>
      </c>
      <c r="Q164" s="17" t="str">
        <f>IF(OR(TEXT(Q$13,"ddd")="Sun",Q$13="",$D164=""),"",IF('Leave Planner'!O165="",1,0))</f>
        <v/>
      </c>
      <c r="R164" s="17" t="str">
        <f>IF(OR(TEXT(R$13,"ddd")="Sun",R$13="",$D164=""),"",IF('Leave Planner'!P165="",1,0))</f>
        <v/>
      </c>
      <c r="S164" s="17" t="str">
        <f>IF(OR(TEXT(S$13,"ddd")="Sun",S$13="",$D164=""),"",IF('Leave Planner'!Q165="",1,0))</f>
        <v/>
      </c>
      <c r="T164" s="17" t="str">
        <f>IF(OR(TEXT(T$13,"ddd")="Sun",T$13="",$D164=""),"",IF('Leave Planner'!R165="",1,0))</f>
        <v/>
      </c>
      <c r="U164" s="17" t="str">
        <f>IF(OR(TEXT(U$13,"ddd")="Sun",U$13="",$D164=""),"",IF('Leave Planner'!S165="",1,0))</f>
        <v/>
      </c>
      <c r="V164" s="17" t="str">
        <f>IF(OR(TEXT(V$13,"ddd")="Sun",V$13="",$D164=""),"",IF('Leave Planner'!T165="",1,0))</f>
        <v/>
      </c>
      <c r="W164" s="17" t="str">
        <f>IF(OR(TEXT(W$13,"ddd")="Sun",W$13="",$D164=""),"",IF('Leave Planner'!U165="",1,0))</f>
        <v/>
      </c>
      <c r="X164" s="17" t="str">
        <f>IF(OR(TEXT(X$13,"ddd")="Sun",X$13="",$D164=""),"",IF('Leave Planner'!V165="",1,0))</f>
        <v/>
      </c>
      <c r="Y164" s="17" t="str">
        <f>IF(OR(TEXT(Y$13,"ddd")="Sun",Y$13="",$D164=""),"",IF('Leave Planner'!W165="",1,0))</f>
        <v/>
      </c>
      <c r="Z164" s="17" t="str">
        <f>IF(OR(TEXT(Z$13,"ddd")="Sun",Z$13="",$D164=""),"",IF('Leave Planner'!X165="",1,0))</f>
        <v/>
      </c>
      <c r="AA164" s="17" t="str">
        <f>IF(OR(TEXT(AA$13,"ddd")="Sun",AA$13="",$D164=""),"",IF('Leave Planner'!Y165="",1,0))</f>
        <v/>
      </c>
      <c r="AB164" s="17" t="str">
        <f>IF(OR(TEXT(AB$13,"ddd")="Sun",AB$13="",$D164=""),"",IF('Leave Planner'!Z165="",1,0))</f>
        <v/>
      </c>
      <c r="AC164" s="17" t="str">
        <f>IF(OR(TEXT(AC$13,"ddd")="Sun",AC$13="",$D164=""),"",IF('Leave Planner'!AA165="",1,0))</f>
        <v/>
      </c>
      <c r="AD164" s="17" t="str">
        <f>IF(OR(TEXT(AD$13,"ddd")="Sun",AD$13="",$D164=""),"",IF('Leave Planner'!AB165="",1,0))</f>
        <v/>
      </c>
      <c r="AE164" s="17" t="str">
        <f>IF(OR(TEXT(AE$13,"ddd")="Sun",AE$13="",$D164=""),"",IF('Leave Planner'!AC165="",1,0))</f>
        <v/>
      </c>
      <c r="AF164" s="17" t="str">
        <f>IF(OR(TEXT(AF$13,"ddd")="Sun",AF$13="",$D164=""),"",IF('Leave Planner'!AD165="",1,0))</f>
        <v/>
      </c>
      <c r="AG164" s="17" t="str">
        <f>IF(OR(TEXT(AG$13,"ddd")="Sun",AG$13="",$D164=""),"",IF('Leave Planner'!AE165="",1,0))</f>
        <v/>
      </c>
      <c r="AH164" s="17" t="str">
        <f>IF(OR(TEXT(AH$13,"ddd")="Sun",AH$13="",$D164=""),"",IF('Leave Planner'!AF165="",1,0))</f>
        <v/>
      </c>
      <c r="AI164" s="17" t="str">
        <f>IF(OR(TEXT(AI$13,"ddd")="Sun",AI$13="",$D164=""),"",IF('Leave Planner'!AG165="",1,0))</f>
        <v/>
      </c>
      <c r="AJ164" s="17" t="str">
        <f>IF(OR(TEXT(AJ$13,"ddd")="Sun",AJ$13="",$D164=""),"",IF('Leave Planner'!AH165="",1,0))</f>
        <v/>
      </c>
    </row>
    <row r="165" spans="2:36" x14ac:dyDescent="0.75">
      <c r="B165" s="15"/>
      <c r="C165" s="22"/>
      <c r="D165" s="22"/>
      <c r="E165" s="42" t="str">
        <f t="shared" si="7"/>
        <v/>
      </c>
      <c r="F165" s="17" t="str">
        <f>IF(OR(TEXT(F$13,"ddd")="Sun",F$13="",$D165=""),"",IF('Leave Planner'!D166="",1,0))</f>
        <v/>
      </c>
      <c r="G165" s="17" t="str">
        <f>IF(OR(TEXT(G$13,"ddd")="Sun",G$13="",$D165=""),"",IF('Leave Planner'!E166="",1,0))</f>
        <v/>
      </c>
      <c r="H165" s="17" t="str">
        <f>IF(OR(TEXT(H$13,"ddd")="Sun",H$13="",$D165=""),"",IF('Leave Planner'!F166="",1,0))</f>
        <v/>
      </c>
      <c r="I165" s="17" t="str">
        <f>IF(OR(TEXT(I$13,"ddd")="Sun",I$13="",$D165=""),"",IF('Leave Planner'!G166="",1,0))</f>
        <v/>
      </c>
      <c r="J165" s="17" t="str">
        <f>IF(OR(TEXT(J$13,"ddd")="Sun",J$13="",$D165=""),"",IF('Leave Planner'!H166="",1,0))</f>
        <v/>
      </c>
      <c r="K165" s="17" t="str">
        <f>IF(OR(TEXT(K$13,"ddd")="Sun",K$13="",$D165=""),"",IF('Leave Planner'!I166="",1,0))</f>
        <v/>
      </c>
      <c r="L165" s="17" t="str">
        <f>IF(OR(TEXT(L$13,"ddd")="Sun",L$13="",$D165=""),"",IF('Leave Planner'!J166="",1,0))</f>
        <v/>
      </c>
      <c r="M165" s="17" t="str">
        <f>IF(OR(TEXT(M$13,"ddd")="Sun",M$13="",$D165=""),"",IF('Leave Planner'!K166="",1,0))</f>
        <v/>
      </c>
      <c r="N165" s="17" t="str">
        <f>IF(OR(TEXT(N$13,"ddd")="Sun",N$13="",$D165=""),"",IF('Leave Planner'!L166="",1,0))</f>
        <v/>
      </c>
      <c r="O165" s="17" t="str">
        <f>IF(OR(TEXT(O$13,"ddd")="Sun",O$13="",$D165=""),"",IF('Leave Planner'!M166="",1,0))</f>
        <v/>
      </c>
      <c r="P165" s="17" t="str">
        <f>IF(OR(TEXT(P$13,"ddd")="Sun",P$13="",$D165=""),"",IF('Leave Planner'!N166="",1,0))</f>
        <v/>
      </c>
      <c r="Q165" s="17" t="str">
        <f>IF(OR(TEXT(Q$13,"ddd")="Sun",Q$13="",$D165=""),"",IF('Leave Planner'!O166="",1,0))</f>
        <v/>
      </c>
      <c r="R165" s="17" t="str">
        <f>IF(OR(TEXT(R$13,"ddd")="Sun",R$13="",$D165=""),"",IF('Leave Planner'!P166="",1,0))</f>
        <v/>
      </c>
      <c r="S165" s="17" t="str">
        <f>IF(OR(TEXT(S$13,"ddd")="Sun",S$13="",$D165=""),"",IF('Leave Planner'!Q166="",1,0))</f>
        <v/>
      </c>
      <c r="T165" s="17" t="str">
        <f>IF(OR(TEXT(T$13,"ddd")="Sun",T$13="",$D165=""),"",IF('Leave Planner'!R166="",1,0))</f>
        <v/>
      </c>
      <c r="U165" s="17" t="str">
        <f>IF(OR(TEXT(U$13,"ddd")="Sun",U$13="",$D165=""),"",IF('Leave Planner'!S166="",1,0))</f>
        <v/>
      </c>
      <c r="V165" s="17" t="str">
        <f>IF(OR(TEXT(V$13,"ddd")="Sun",V$13="",$D165=""),"",IF('Leave Planner'!T166="",1,0))</f>
        <v/>
      </c>
      <c r="W165" s="17" t="str">
        <f>IF(OR(TEXT(W$13,"ddd")="Sun",W$13="",$D165=""),"",IF('Leave Planner'!U166="",1,0))</f>
        <v/>
      </c>
      <c r="X165" s="17" t="str">
        <f>IF(OR(TEXT(X$13,"ddd")="Sun",X$13="",$D165=""),"",IF('Leave Planner'!V166="",1,0))</f>
        <v/>
      </c>
      <c r="Y165" s="17" t="str">
        <f>IF(OR(TEXT(Y$13,"ddd")="Sun",Y$13="",$D165=""),"",IF('Leave Planner'!W166="",1,0))</f>
        <v/>
      </c>
      <c r="Z165" s="17" t="str">
        <f>IF(OR(TEXT(Z$13,"ddd")="Sun",Z$13="",$D165=""),"",IF('Leave Planner'!X166="",1,0))</f>
        <v/>
      </c>
      <c r="AA165" s="17" t="str">
        <f>IF(OR(TEXT(AA$13,"ddd")="Sun",AA$13="",$D165=""),"",IF('Leave Planner'!Y166="",1,0))</f>
        <v/>
      </c>
      <c r="AB165" s="17" t="str">
        <f>IF(OR(TEXT(AB$13,"ddd")="Sun",AB$13="",$D165=""),"",IF('Leave Planner'!Z166="",1,0))</f>
        <v/>
      </c>
      <c r="AC165" s="17" t="str">
        <f>IF(OR(TEXT(AC$13,"ddd")="Sun",AC$13="",$D165=""),"",IF('Leave Planner'!AA166="",1,0))</f>
        <v/>
      </c>
      <c r="AD165" s="17" t="str">
        <f>IF(OR(TEXT(AD$13,"ddd")="Sun",AD$13="",$D165=""),"",IF('Leave Planner'!AB166="",1,0))</f>
        <v/>
      </c>
      <c r="AE165" s="17" t="str">
        <f>IF(OR(TEXT(AE$13,"ddd")="Sun",AE$13="",$D165=""),"",IF('Leave Planner'!AC166="",1,0))</f>
        <v/>
      </c>
      <c r="AF165" s="17" t="str">
        <f>IF(OR(TEXT(AF$13,"ddd")="Sun",AF$13="",$D165=""),"",IF('Leave Planner'!AD166="",1,0))</f>
        <v/>
      </c>
      <c r="AG165" s="17" t="str">
        <f>IF(OR(TEXT(AG$13,"ddd")="Sun",AG$13="",$D165=""),"",IF('Leave Planner'!AE166="",1,0))</f>
        <v/>
      </c>
      <c r="AH165" s="17" t="str">
        <f>IF(OR(TEXT(AH$13,"ddd")="Sun",AH$13="",$D165=""),"",IF('Leave Planner'!AF166="",1,0))</f>
        <v/>
      </c>
      <c r="AI165" s="17" t="str">
        <f>IF(OR(TEXT(AI$13,"ddd")="Sun",AI$13="",$D165=""),"",IF('Leave Planner'!AG166="",1,0))</f>
        <v/>
      </c>
      <c r="AJ165" s="17" t="str">
        <f>IF(OR(TEXT(AJ$13,"ddd")="Sun",AJ$13="",$D165=""),"",IF('Leave Planner'!AH166="",1,0))</f>
        <v/>
      </c>
    </row>
    <row r="166" spans="2:36" x14ac:dyDescent="0.75">
      <c r="B166" s="15"/>
      <c r="C166" s="22"/>
      <c r="D166" s="22"/>
      <c r="E166" s="42" t="str">
        <f t="shared" si="7"/>
        <v/>
      </c>
      <c r="F166" s="17" t="str">
        <f>IF(OR(TEXT(F$13,"ddd")="Sun",F$13="",$D166=""),"",IF('Leave Planner'!D167="",1,0))</f>
        <v/>
      </c>
      <c r="G166" s="17" t="str">
        <f>IF(OR(TEXT(G$13,"ddd")="Sun",G$13="",$D166=""),"",IF('Leave Planner'!E167="",1,0))</f>
        <v/>
      </c>
      <c r="H166" s="17" t="str">
        <f>IF(OR(TEXT(H$13,"ddd")="Sun",H$13="",$D166=""),"",IF('Leave Planner'!F167="",1,0))</f>
        <v/>
      </c>
      <c r="I166" s="17" t="str">
        <f>IF(OR(TEXT(I$13,"ddd")="Sun",I$13="",$D166=""),"",IF('Leave Planner'!G167="",1,0))</f>
        <v/>
      </c>
      <c r="J166" s="17" t="str">
        <f>IF(OR(TEXT(J$13,"ddd")="Sun",J$13="",$D166=""),"",IF('Leave Planner'!H167="",1,0))</f>
        <v/>
      </c>
      <c r="K166" s="17" t="str">
        <f>IF(OR(TEXT(K$13,"ddd")="Sun",K$13="",$D166=""),"",IF('Leave Planner'!I167="",1,0))</f>
        <v/>
      </c>
      <c r="L166" s="17" t="str">
        <f>IF(OR(TEXT(L$13,"ddd")="Sun",L$13="",$D166=""),"",IF('Leave Planner'!J167="",1,0))</f>
        <v/>
      </c>
      <c r="M166" s="17" t="str">
        <f>IF(OR(TEXT(M$13,"ddd")="Sun",M$13="",$D166=""),"",IF('Leave Planner'!K167="",1,0))</f>
        <v/>
      </c>
      <c r="N166" s="17" t="str">
        <f>IF(OR(TEXT(N$13,"ddd")="Sun",N$13="",$D166=""),"",IF('Leave Planner'!L167="",1,0))</f>
        <v/>
      </c>
      <c r="O166" s="17" t="str">
        <f>IF(OR(TEXT(O$13,"ddd")="Sun",O$13="",$D166=""),"",IF('Leave Planner'!M167="",1,0))</f>
        <v/>
      </c>
      <c r="P166" s="17" t="str">
        <f>IF(OR(TEXT(P$13,"ddd")="Sun",P$13="",$D166=""),"",IF('Leave Planner'!N167="",1,0))</f>
        <v/>
      </c>
      <c r="Q166" s="17" t="str">
        <f>IF(OR(TEXT(Q$13,"ddd")="Sun",Q$13="",$D166=""),"",IF('Leave Planner'!O167="",1,0))</f>
        <v/>
      </c>
      <c r="R166" s="17" t="str">
        <f>IF(OR(TEXT(R$13,"ddd")="Sun",R$13="",$D166=""),"",IF('Leave Planner'!P167="",1,0))</f>
        <v/>
      </c>
      <c r="S166" s="17" t="str">
        <f>IF(OR(TEXT(S$13,"ddd")="Sun",S$13="",$D166=""),"",IF('Leave Planner'!Q167="",1,0))</f>
        <v/>
      </c>
      <c r="T166" s="17" t="str">
        <f>IF(OR(TEXT(T$13,"ddd")="Sun",T$13="",$D166=""),"",IF('Leave Planner'!R167="",1,0))</f>
        <v/>
      </c>
      <c r="U166" s="17" t="str">
        <f>IF(OR(TEXT(U$13,"ddd")="Sun",U$13="",$D166=""),"",IF('Leave Planner'!S167="",1,0))</f>
        <v/>
      </c>
      <c r="V166" s="17" t="str">
        <f>IF(OR(TEXT(V$13,"ddd")="Sun",V$13="",$D166=""),"",IF('Leave Planner'!T167="",1,0))</f>
        <v/>
      </c>
      <c r="W166" s="17" t="str">
        <f>IF(OR(TEXT(W$13,"ddd")="Sun",W$13="",$D166=""),"",IF('Leave Planner'!U167="",1,0))</f>
        <v/>
      </c>
      <c r="X166" s="17" t="str">
        <f>IF(OR(TEXT(X$13,"ddd")="Sun",X$13="",$D166=""),"",IF('Leave Planner'!V167="",1,0))</f>
        <v/>
      </c>
      <c r="Y166" s="17" t="str">
        <f>IF(OR(TEXT(Y$13,"ddd")="Sun",Y$13="",$D166=""),"",IF('Leave Planner'!W167="",1,0))</f>
        <v/>
      </c>
      <c r="Z166" s="17" t="str">
        <f>IF(OR(TEXT(Z$13,"ddd")="Sun",Z$13="",$D166=""),"",IF('Leave Planner'!X167="",1,0))</f>
        <v/>
      </c>
      <c r="AA166" s="17" t="str">
        <f>IF(OR(TEXT(AA$13,"ddd")="Sun",AA$13="",$D166=""),"",IF('Leave Planner'!Y167="",1,0))</f>
        <v/>
      </c>
      <c r="AB166" s="17" t="str">
        <f>IF(OR(TEXT(AB$13,"ddd")="Sun",AB$13="",$D166=""),"",IF('Leave Planner'!Z167="",1,0))</f>
        <v/>
      </c>
      <c r="AC166" s="17" t="str">
        <f>IF(OR(TEXT(AC$13,"ddd")="Sun",AC$13="",$D166=""),"",IF('Leave Planner'!AA167="",1,0))</f>
        <v/>
      </c>
      <c r="AD166" s="17" t="str">
        <f>IF(OR(TEXT(AD$13,"ddd")="Sun",AD$13="",$D166=""),"",IF('Leave Planner'!AB167="",1,0))</f>
        <v/>
      </c>
      <c r="AE166" s="17" t="str">
        <f>IF(OR(TEXT(AE$13,"ddd")="Sun",AE$13="",$D166=""),"",IF('Leave Planner'!AC167="",1,0))</f>
        <v/>
      </c>
      <c r="AF166" s="17" t="str">
        <f>IF(OR(TEXT(AF$13,"ddd")="Sun",AF$13="",$D166=""),"",IF('Leave Planner'!AD167="",1,0))</f>
        <v/>
      </c>
      <c r="AG166" s="17" t="str">
        <f>IF(OR(TEXT(AG$13,"ddd")="Sun",AG$13="",$D166=""),"",IF('Leave Planner'!AE167="",1,0))</f>
        <v/>
      </c>
      <c r="AH166" s="17" t="str">
        <f>IF(OR(TEXT(AH$13,"ddd")="Sun",AH$13="",$D166=""),"",IF('Leave Planner'!AF167="",1,0))</f>
        <v/>
      </c>
      <c r="AI166" s="17" t="str">
        <f>IF(OR(TEXT(AI$13,"ddd")="Sun",AI$13="",$D166=""),"",IF('Leave Planner'!AG167="",1,0))</f>
        <v/>
      </c>
      <c r="AJ166" s="17" t="str">
        <f>IF(OR(TEXT(AJ$13,"ddd")="Sun",AJ$13="",$D166=""),"",IF('Leave Planner'!AH167="",1,0))</f>
        <v/>
      </c>
    </row>
    <row r="167" spans="2:36" x14ac:dyDescent="0.75">
      <c r="B167" s="15"/>
      <c r="C167" s="22"/>
      <c r="D167" s="22"/>
      <c r="E167" s="42" t="str">
        <f t="shared" si="7"/>
        <v/>
      </c>
      <c r="F167" s="17" t="str">
        <f>IF(OR(TEXT(F$13,"ddd")="Sun",F$13="",$D167=""),"",IF('Leave Planner'!D168="",1,0))</f>
        <v/>
      </c>
      <c r="G167" s="17" t="str">
        <f>IF(OR(TEXT(G$13,"ddd")="Sun",G$13="",$D167=""),"",IF('Leave Planner'!E168="",1,0))</f>
        <v/>
      </c>
      <c r="H167" s="17" t="str">
        <f>IF(OR(TEXT(H$13,"ddd")="Sun",H$13="",$D167=""),"",IF('Leave Planner'!F168="",1,0))</f>
        <v/>
      </c>
      <c r="I167" s="17" t="str">
        <f>IF(OR(TEXT(I$13,"ddd")="Sun",I$13="",$D167=""),"",IF('Leave Planner'!G168="",1,0))</f>
        <v/>
      </c>
      <c r="J167" s="17" t="str">
        <f>IF(OR(TEXT(J$13,"ddd")="Sun",J$13="",$D167=""),"",IF('Leave Planner'!H168="",1,0))</f>
        <v/>
      </c>
      <c r="K167" s="17" t="str">
        <f>IF(OR(TEXT(K$13,"ddd")="Sun",K$13="",$D167=""),"",IF('Leave Planner'!I168="",1,0))</f>
        <v/>
      </c>
      <c r="L167" s="17" t="str">
        <f>IF(OR(TEXT(L$13,"ddd")="Sun",L$13="",$D167=""),"",IF('Leave Planner'!J168="",1,0))</f>
        <v/>
      </c>
      <c r="M167" s="17" t="str">
        <f>IF(OR(TEXT(M$13,"ddd")="Sun",M$13="",$D167=""),"",IF('Leave Planner'!K168="",1,0))</f>
        <v/>
      </c>
      <c r="N167" s="17" t="str">
        <f>IF(OR(TEXT(N$13,"ddd")="Sun",N$13="",$D167=""),"",IF('Leave Planner'!L168="",1,0))</f>
        <v/>
      </c>
      <c r="O167" s="17" t="str">
        <f>IF(OR(TEXT(O$13,"ddd")="Sun",O$13="",$D167=""),"",IF('Leave Planner'!M168="",1,0))</f>
        <v/>
      </c>
      <c r="P167" s="17" t="str">
        <f>IF(OR(TEXT(P$13,"ddd")="Sun",P$13="",$D167=""),"",IF('Leave Planner'!N168="",1,0))</f>
        <v/>
      </c>
      <c r="Q167" s="17" t="str">
        <f>IF(OR(TEXT(Q$13,"ddd")="Sun",Q$13="",$D167=""),"",IF('Leave Planner'!O168="",1,0))</f>
        <v/>
      </c>
      <c r="R167" s="17" t="str">
        <f>IF(OR(TEXT(R$13,"ddd")="Sun",R$13="",$D167=""),"",IF('Leave Planner'!P168="",1,0))</f>
        <v/>
      </c>
      <c r="S167" s="17" t="str">
        <f>IF(OR(TEXT(S$13,"ddd")="Sun",S$13="",$D167=""),"",IF('Leave Planner'!Q168="",1,0))</f>
        <v/>
      </c>
      <c r="T167" s="17" t="str">
        <f>IF(OR(TEXT(T$13,"ddd")="Sun",T$13="",$D167=""),"",IF('Leave Planner'!R168="",1,0))</f>
        <v/>
      </c>
      <c r="U167" s="17" t="str">
        <f>IF(OR(TEXT(U$13,"ddd")="Sun",U$13="",$D167=""),"",IF('Leave Planner'!S168="",1,0))</f>
        <v/>
      </c>
      <c r="V167" s="17" t="str">
        <f>IF(OR(TEXT(V$13,"ddd")="Sun",V$13="",$D167=""),"",IF('Leave Planner'!T168="",1,0))</f>
        <v/>
      </c>
      <c r="W167" s="17" t="str">
        <f>IF(OR(TEXT(W$13,"ddd")="Sun",W$13="",$D167=""),"",IF('Leave Planner'!U168="",1,0))</f>
        <v/>
      </c>
      <c r="X167" s="17" t="str">
        <f>IF(OR(TEXT(X$13,"ddd")="Sun",X$13="",$D167=""),"",IF('Leave Planner'!V168="",1,0))</f>
        <v/>
      </c>
      <c r="Y167" s="17" t="str">
        <f>IF(OR(TEXT(Y$13,"ddd")="Sun",Y$13="",$D167=""),"",IF('Leave Planner'!W168="",1,0))</f>
        <v/>
      </c>
      <c r="Z167" s="17" t="str">
        <f>IF(OR(TEXT(Z$13,"ddd")="Sun",Z$13="",$D167=""),"",IF('Leave Planner'!X168="",1,0))</f>
        <v/>
      </c>
      <c r="AA167" s="17" t="str">
        <f>IF(OR(TEXT(AA$13,"ddd")="Sun",AA$13="",$D167=""),"",IF('Leave Planner'!Y168="",1,0))</f>
        <v/>
      </c>
      <c r="AB167" s="17" t="str">
        <f>IF(OR(TEXT(AB$13,"ddd")="Sun",AB$13="",$D167=""),"",IF('Leave Planner'!Z168="",1,0))</f>
        <v/>
      </c>
      <c r="AC167" s="17" t="str">
        <f>IF(OR(TEXT(AC$13,"ddd")="Sun",AC$13="",$D167=""),"",IF('Leave Planner'!AA168="",1,0))</f>
        <v/>
      </c>
      <c r="AD167" s="17" t="str">
        <f>IF(OR(TEXT(AD$13,"ddd")="Sun",AD$13="",$D167=""),"",IF('Leave Planner'!AB168="",1,0))</f>
        <v/>
      </c>
      <c r="AE167" s="17" t="str">
        <f>IF(OR(TEXT(AE$13,"ddd")="Sun",AE$13="",$D167=""),"",IF('Leave Planner'!AC168="",1,0))</f>
        <v/>
      </c>
      <c r="AF167" s="17" t="str">
        <f>IF(OR(TEXT(AF$13,"ddd")="Sun",AF$13="",$D167=""),"",IF('Leave Planner'!AD168="",1,0))</f>
        <v/>
      </c>
      <c r="AG167" s="17" t="str">
        <f>IF(OR(TEXT(AG$13,"ddd")="Sun",AG$13="",$D167=""),"",IF('Leave Planner'!AE168="",1,0))</f>
        <v/>
      </c>
      <c r="AH167" s="17" t="str">
        <f>IF(OR(TEXT(AH$13,"ddd")="Sun",AH$13="",$D167=""),"",IF('Leave Planner'!AF168="",1,0))</f>
        <v/>
      </c>
      <c r="AI167" s="17" t="str">
        <f>IF(OR(TEXT(AI$13,"ddd")="Sun",AI$13="",$D167=""),"",IF('Leave Planner'!AG168="",1,0))</f>
        <v/>
      </c>
      <c r="AJ167" s="17" t="str">
        <f>IF(OR(TEXT(AJ$13,"ddd")="Sun",AJ$13="",$D167=""),"",IF('Leave Planner'!AH168="",1,0))</f>
        <v/>
      </c>
    </row>
    <row r="168" spans="2:36" x14ac:dyDescent="0.75">
      <c r="B168" s="15"/>
      <c r="C168" s="22"/>
      <c r="D168" s="22"/>
      <c r="E168" s="42" t="str">
        <f t="shared" si="7"/>
        <v/>
      </c>
      <c r="F168" s="17" t="str">
        <f>IF(OR(TEXT(F$13,"ddd")="Sun",F$13="",$D168=""),"",IF('Leave Planner'!D169="",1,0))</f>
        <v/>
      </c>
      <c r="G168" s="17" t="str">
        <f>IF(OR(TEXT(G$13,"ddd")="Sun",G$13="",$D168=""),"",IF('Leave Planner'!E169="",1,0))</f>
        <v/>
      </c>
      <c r="H168" s="17" t="str">
        <f>IF(OR(TEXT(H$13,"ddd")="Sun",H$13="",$D168=""),"",IF('Leave Planner'!F169="",1,0))</f>
        <v/>
      </c>
      <c r="I168" s="17" t="str">
        <f>IF(OR(TEXT(I$13,"ddd")="Sun",I$13="",$D168=""),"",IF('Leave Planner'!G169="",1,0))</f>
        <v/>
      </c>
      <c r="J168" s="17" t="str">
        <f>IF(OR(TEXT(J$13,"ddd")="Sun",J$13="",$D168=""),"",IF('Leave Planner'!H169="",1,0))</f>
        <v/>
      </c>
      <c r="K168" s="17" t="str">
        <f>IF(OR(TEXT(K$13,"ddd")="Sun",K$13="",$D168=""),"",IF('Leave Planner'!I169="",1,0))</f>
        <v/>
      </c>
      <c r="L168" s="17" t="str">
        <f>IF(OR(TEXT(L$13,"ddd")="Sun",L$13="",$D168=""),"",IF('Leave Planner'!J169="",1,0))</f>
        <v/>
      </c>
      <c r="M168" s="17" t="str">
        <f>IF(OR(TEXT(M$13,"ddd")="Sun",M$13="",$D168=""),"",IF('Leave Planner'!K169="",1,0))</f>
        <v/>
      </c>
      <c r="N168" s="17" t="str">
        <f>IF(OR(TEXT(N$13,"ddd")="Sun",N$13="",$D168=""),"",IF('Leave Planner'!L169="",1,0))</f>
        <v/>
      </c>
      <c r="O168" s="17" t="str">
        <f>IF(OR(TEXT(O$13,"ddd")="Sun",O$13="",$D168=""),"",IF('Leave Planner'!M169="",1,0))</f>
        <v/>
      </c>
      <c r="P168" s="17" t="str">
        <f>IF(OR(TEXT(P$13,"ddd")="Sun",P$13="",$D168=""),"",IF('Leave Planner'!N169="",1,0))</f>
        <v/>
      </c>
      <c r="Q168" s="17" t="str">
        <f>IF(OR(TEXT(Q$13,"ddd")="Sun",Q$13="",$D168=""),"",IF('Leave Planner'!O169="",1,0))</f>
        <v/>
      </c>
      <c r="R168" s="17" t="str">
        <f>IF(OR(TEXT(R$13,"ddd")="Sun",R$13="",$D168=""),"",IF('Leave Planner'!P169="",1,0))</f>
        <v/>
      </c>
      <c r="S168" s="17" t="str">
        <f>IF(OR(TEXT(S$13,"ddd")="Sun",S$13="",$D168=""),"",IF('Leave Planner'!Q169="",1,0))</f>
        <v/>
      </c>
      <c r="T168" s="17" t="str">
        <f>IF(OR(TEXT(T$13,"ddd")="Sun",T$13="",$D168=""),"",IF('Leave Planner'!R169="",1,0))</f>
        <v/>
      </c>
      <c r="U168" s="17" t="str">
        <f>IF(OR(TEXT(U$13,"ddd")="Sun",U$13="",$D168=""),"",IF('Leave Planner'!S169="",1,0))</f>
        <v/>
      </c>
      <c r="V168" s="17" t="str">
        <f>IF(OR(TEXT(V$13,"ddd")="Sun",V$13="",$D168=""),"",IF('Leave Planner'!T169="",1,0))</f>
        <v/>
      </c>
      <c r="W168" s="17" t="str">
        <f>IF(OR(TEXT(W$13,"ddd")="Sun",W$13="",$D168=""),"",IF('Leave Planner'!U169="",1,0))</f>
        <v/>
      </c>
      <c r="X168" s="17" t="str">
        <f>IF(OR(TEXT(X$13,"ddd")="Sun",X$13="",$D168=""),"",IF('Leave Planner'!V169="",1,0))</f>
        <v/>
      </c>
      <c r="Y168" s="17" t="str">
        <f>IF(OR(TEXT(Y$13,"ddd")="Sun",Y$13="",$D168=""),"",IF('Leave Planner'!W169="",1,0))</f>
        <v/>
      </c>
      <c r="Z168" s="17" t="str">
        <f>IF(OR(TEXT(Z$13,"ddd")="Sun",Z$13="",$D168=""),"",IF('Leave Planner'!X169="",1,0))</f>
        <v/>
      </c>
      <c r="AA168" s="17" t="str">
        <f>IF(OR(TEXT(AA$13,"ddd")="Sun",AA$13="",$D168=""),"",IF('Leave Planner'!Y169="",1,0))</f>
        <v/>
      </c>
      <c r="AB168" s="17" t="str">
        <f>IF(OR(TEXT(AB$13,"ddd")="Sun",AB$13="",$D168=""),"",IF('Leave Planner'!Z169="",1,0))</f>
        <v/>
      </c>
      <c r="AC168" s="17" t="str">
        <f>IF(OR(TEXT(AC$13,"ddd")="Sun",AC$13="",$D168=""),"",IF('Leave Planner'!AA169="",1,0))</f>
        <v/>
      </c>
      <c r="AD168" s="17" t="str">
        <f>IF(OR(TEXT(AD$13,"ddd")="Sun",AD$13="",$D168=""),"",IF('Leave Planner'!AB169="",1,0))</f>
        <v/>
      </c>
      <c r="AE168" s="17" t="str">
        <f>IF(OR(TEXT(AE$13,"ddd")="Sun",AE$13="",$D168=""),"",IF('Leave Planner'!AC169="",1,0))</f>
        <v/>
      </c>
      <c r="AF168" s="17" t="str">
        <f>IF(OR(TEXT(AF$13,"ddd")="Sun",AF$13="",$D168=""),"",IF('Leave Planner'!AD169="",1,0))</f>
        <v/>
      </c>
      <c r="AG168" s="17" t="str">
        <f>IF(OR(TEXT(AG$13,"ddd")="Sun",AG$13="",$D168=""),"",IF('Leave Planner'!AE169="",1,0))</f>
        <v/>
      </c>
      <c r="AH168" s="17" t="str">
        <f>IF(OR(TEXT(AH$13,"ddd")="Sun",AH$13="",$D168=""),"",IF('Leave Planner'!AF169="",1,0))</f>
        <v/>
      </c>
      <c r="AI168" s="17" t="str">
        <f>IF(OR(TEXT(AI$13,"ddd")="Sun",AI$13="",$D168=""),"",IF('Leave Planner'!AG169="",1,0))</f>
        <v/>
      </c>
      <c r="AJ168" s="17" t="str">
        <f>IF(OR(TEXT(AJ$13,"ddd")="Sun",AJ$13="",$D168=""),"",IF('Leave Planner'!AH169="",1,0))</f>
        <v/>
      </c>
    </row>
    <row r="169" spans="2:36" x14ac:dyDescent="0.75">
      <c r="B169" s="15"/>
      <c r="C169" s="22"/>
      <c r="D169" s="22"/>
      <c r="E169" s="42" t="str">
        <f t="shared" si="7"/>
        <v/>
      </c>
      <c r="F169" s="17" t="str">
        <f>IF(OR(TEXT(F$13,"ddd")="Sun",F$13="",$D169=""),"",IF('Leave Planner'!D170="",1,0))</f>
        <v/>
      </c>
      <c r="G169" s="17" t="str">
        <f>IF(OR(TEXT(G$13,"ddd")="Sun",G$13="",$D169=""),"",IF('Leave Planner'!E170="",1,0))</f>
        <v/>
      </c>
      <c r="H169" s="17" t="str">
        <f>IF(OR(TEXT(H$13,"ddd")="Sun",H$13="",$D169=""),"",IF('Leave Planner'!F170="",1,0))</f>
        <v/>
      </c>
      <c r="I169" s="17" t="str">
        <f>IF(OR(TEXT(I$13,"ddd")="Sun",I$13="",$D169=""),"",IF('Leave Planner'!G170="",1,0))</f>
        <v/>
      </c>
      <c r="J169" s="17" t="str">
        <f>IF(OR(TEXT(J$13,"ddd")="Sun",J$13="",$D169=""),"",IF('Leave Planner'!H170="",1,0))</f>
        <v/>
      </c>
      <c r="K169" s="17" t="str">
        <f>IF(OR(TEXT(K$13,"ddd")="Sun",K$13="",$D169=""),"",IF('Leave Planner'!I170="",1,0))</f>
        <v/>
      </c>
      <c r="L169" s="17" t="str">
        <f>IF(OR(TEXT(L$13,"ddd")="Sun",L$13="",$D169=""),"",IF('Leave Planner'!J170="",1,0))</f>
        <v/>
      </c>
      <c r="M169" s="17" t="str">
        <f>IF(OR(TEXT(M$13,"ddd")="Sun",M$13="",$D169=""),"",IF('Leave Planner'!K170="",1,0))</f>
        <v/>
      </c>
      <c r="N169" s="17" t="str">
        <f>IF(OR(TEXT(N$13,"ddd")="Sun",N$13="",$D169=""),"",IF('Leave Planner'!L170="",1,0))</f>
        <v/>
      </c>
      <c r="O169" s="17" t="str">
        <f>IF(OR(TEXT(O$13,"ddd")="Sun",O$13="",$D169=""),"",IF('Leave Planner'!M170="",1,0))</f>
        <v/>
      </c>
      <c r="P169" s="17" t="str">
        <f>IF(OR(TEXT(P$13,"ddd")="Sun",P$13="",$D169=""),"",IF('Leave Planner'!N170="",1,0))</f>
        <v/>
      </c>
      <c r="Q169" s="17" t="str">
        <f>IF(OR(TEXT(Q$13,"ddd")="Sun",Q$13="",$D169=""),"",IF('Leave Planner'!O170="",1,0))</f>
        <v/>
      </c>
      <c r="R169" s="17" t="str">
        <f>IF(OR(TEXT(R$13,"ddd")="Sun",R$13="",$D169=""),"",IF('Leave Planner'!P170="",1,0))</f>
        <v/>
      </c>
      <c r="S169" s="17" t="str">
        <f>IF(OR(TEXT(S$13,"ddd")="Sun",S$13="",$D169=""),"",IF('Leave Planner'!Q170="",1,0))</f>
        <v/>
      </c>
      <c r="T169" s="17" t="str">
        <f>IF(OR(TEXT(T$13,"ddd")="Sun",T$13="",$D169=""),"",IF('Leave Planner'!R170="",1,0))</f>
        <v/>
      </c>
      <c r="U169" s="17" t="str">
        <f>IF(OR(TEXT(U$13,"ddd")="Sun",U$13="",$D169=""),"",IF('Leave Planner'!S170="",1,0))</f>
        <v/>
      </c>
      <c r="V169" s="17" t="str">
        <f>IF(OR(TEXT(V$13,"ddd")="Sun",V$13="",$D169=""),"",IF('Leave Planner'!T170="",1,0))</f>
        <v/>
      </c>
      <c r="W169" s="17" t="str">
        <f>IF(OR(TEXT(W$13,"ddd")="Sun",W$13="",$D169=""),"",IF('Leave Planner'!U170="",1,0))</f>
        <v/>
      </c>
      <c r="X169" s="17" t="str">
        <f>IF(OR(TEXT(X$13,"ddd")="Sun",X$13="",$D169=""),"",IF('Leave Planner'!V170="",1,0))</f>
        <v/>
      </c>
      <c r="Y169" s="17" t="str">
        <f>IF(OR(TEXT(Y$13,"ddd")="Sun",Y$13="",$D169=""),"",IF('Leave Planner'!W170="",1,0))</f>
        <v/>
      </c>
      <c r="Z169" s="17" t="str">
        <f>IF(OR(TEXT(Z$13,"ddd")="Sun",Z$13="",$D169=""),"",IF('Leave Planner'!X170="",1,0))</f>
        <v/>
      </c>
      <c r="AA169" s="17" t="str">
        <f>IF(OR(TEXT(AA$13,"ddd")="Sun",AA$13="",$D169=""),"",IF('Leave Planner'!Y170="",1,0))</f>
        <v/>
      </c>
      <c r="AB169" s="17" t="str">
        <f>IF(OR(TEXT(AB$13,"ddd")="Sun",AB$13="",$D169=""),"",IF('Leave Planner'!Z170="",1,0))</f>
        <v/>
      </c>
      <c r="AC169" s="17" t="str">
        <f>IF(OR(TEXT(AC$13,"ddd")="Sun",AC$13="",$D169=""),"",IF('Leave Planner'!AA170="",1,0))</f>
        <v/>
      </c>
      <c r="AD169" s="17" t="str">
        <f>IF(OR(TEXT(AD$13,"ddd")="Sun",AD$13="",$D169=""),"",IF('Leave Planner'!AB170="",1,0))</f>
        <v/>
      </c>
      <c r="AE169" s="17" t="str">
        <f>IF(OR(TEXT(AE$13,"ddd")="Sun",AE$13="",$D169=""),"",IF('Leave Planner'!AC170="",1,0))</f>
        <v/>
      </c>
      <c r="AF169" s="17" t="str">
        <f>IF(OR(TEXT(AF$13,"ddd")="Sun",AF$13="",$D169=""),"",IF('Leave Planner'!AD170="",1,0))</f>
        <v/>
      </c>
      <c r="AG169" s="17" t="str">
        <f>IF(OR(TEXT(AG$13,"ddd")="Sun",AG$13="",$D169=""),"",IF('Leave Planner'!AE170="",1,0))</f>
        <v/>
      </c>
      <c r="AH169" s="17" t="str">
        <f>IF(OR(TEXT(AH$13,"ddd")="Sun",AH$13="",$D169=""),"",IF('Leave Planner'!AF170="",1,0))</f>
        <v/>
      </c>
      <c r="AI169" s="17" t="str">
        <f>IF(OR(TEXT(AI$13,"ddd")="Sun",AI$13="",$D169=""),"",IF('Leave Planner'!AG170="",1,0))</f>
        <v/>
      </c>
      <c r="AJ169" s="17" t="str">
        <f>IF(OR(TEXT(AJ$13,"ddd")="Sun",AJ$13="",$D169=""),"",IF('Leave Planner'!AH170="",1,0))</f>
        <v/>
      </c>
    </row>
    <row r="170" spans="2:36" x14ac:dyDescent="0.75">
      <c r="B170" s="15"/>
      <c r="C170" s="22"/>
      <c r="D170" s="22"/>
      <c r="E170" s="42" t="str">
        <f t="shared" si="7"/>
        <v/>
      </c>
      <c r="F170" s="17" t="str">
        <f>IF(OR(TEXT(F$13,"ddd")="Sun",F$13="",$D170=""),"",IF('Leave Planner'!D171="",1,0))</f>
        <v/>
      </c>
      <c r="G170" s="17" t="str">
        <f>IF(OR(TEXT(G$13,"ddd")="Sun",G$13="",$D170=""),"",IF('Leave Planner'!E171="",1,0))</f>
        <v/>
      </c>
      <c r="H170" s="17" t="str">
        <f>IF(OR(TEXT(H$13,"ddd")="Sun",H$13="",$D170=""),"",IF('Leave Planner'!F171="",1,0))</f>
        <v/>
      </c>
      <c r="I170" s="17" t="str">
        <f>IF(OR(TEXT(I$13,"ddd")="Sun",I$13="",$D170=""),"",IF('Leave Planner'!G171="",1,0))</f>
        <v/>
      </c>
      <c r="J170" s="17" t="str">
        <f>IF(OR(TEXT(J$13,"ddd")="Sun",J$13="",$D170=""),"",IF('Leave Planner'!H171="",1,0))</f>
        <v/>
      </c>
      <c r="K170" s="17" t="str">
        <f>IF(OR(TEXT(K$13,"ddd")="Sun",K$13="",$D170=""),"",IF('Leave Planner'!I171="",1,0))</f>
        <v/>
      </c>
      <c r="L170" s="17" t="str">
        <f>IF(OR(TEXT(L$13,"ddd")="Sun",L$13="",$D170=""),"",IF('Leave Planner'!J171="",1,0))</f>
        <v/>
      </c>
      <c r="M170" s="17" t="str">
        <f>IF(OR(TEXT(M$13,"ddd")="Sun",M$13="",$D170=""),"",IF('Leave Planner'!K171="",1,0))</f>
        <v/>
      </c>
      <c r="N170" s="17" t="str">
        <f>IF(OR(TEXT(N$13,"ddd")="Sun",N$13="",$D170=""),"",IF('Leave Planner'!L171="",1,0))</f>
        <v/>
      </c>
      <c r="O170" s="17" t="str">
        <f>IF(OR(TEXT(O$13,"ddd")="Sun",O$13="",$D170=""),"",IF('Leave Planner'!M171="",1,0))</f>
        <v/>
      </c>
      <c r="P170" s="17" t="str">
        <f>IF(OR(TEXT(P$13,"ddd")="Sun",P$13="",$D170=""),"",IF('Leave Planner'!N171="",1,0))</f>
        <v/>
      </c>
      <c r="Q170" s="17" t="str">
        <f>IF(OR(TEXT(Q$13,"ddd")="Sun",Q$13="",$D170=""),"",IF('Leave Planner'!O171="",1,0))</f>
        <v/>
      </c>
      <c r="R170" s="17" t="str">
        <f>IF(OR(TEXT(R$13,"ddd")="Sun",R$13="",$D170=""),"",IF('Leave Planner'!P171="",1,0))</f>
        <v/>
      </c>
      <c r="S170" s="17" t="str">
        <f>IF(OR(TEXT(S$13,"ddd")="Sun",S$13="",$D170=""),"",IF('Leave Planner'!Q171="",1,0))</f>
        <v/>
      </c>
      <c r="T170" s="17" t="str">
        <f>IF(OR(TEXT(T$13,"ddd")="Sun",T$13="",$D170=""),"",IF('Leave Planner'!R171="",1,0))</f>
        <v/>
      </c>
      <c r="U170" s="17" t="str">
        <f>IF(OR(TEXT(U$13,"ddd")="Sun",U$13="",$D170=""),"",IF('Leave Planner'!S171="",1,0))</f>
        <v/>
      </c>
      <c r="V170" s="17" t="str">
        <f>IF(OR(TEXT(V$13,"ddd")="Sun",V$13="",$D170=""),"",IF('Leave Planner'!T171="",1,0))</f>
        <v/>
      </c>
      <c r="W170" s="17" t="str">
        <f>IF(OR(TEXT(W$13,"ddd")="Sun",W$13="",$D170=""),"",IF('Leave Planner'!U171="",1,0))</f>
        <v/>
      </c>
      <c r="X170" s="17" t="str">
        <f>IF(OR(TEXT(X$13,"ddd")="Sun",X$13="",$D170=""),"",IF('Leave Planner'!V171="",1,0))</f>
        <v/>
      </c>
      <c r="Y170" s="17" t="str">
        <f>IF(OR(TEXT(Y$13,"ddd")="Sun",Y$13="",$D170=""),"",IF('Leave Planner'!W171="",1,0))</f>
        <v/>
      </c>
      <c r="Z170" s="17" t="str">
        <f>IF(OR(TEXT(Z$13,"ddd")="Sun",Z$13="",$D170=""),"",IF('Leave Planner'!X171="",1,0))</f>
        <v/>
      </c>
      <c r="AA170" s="17" t="str">
        <f>IF(OR(TEXT(AA$13,"ddd")="Sun",AA$13="",$D170=""),"",IF('Leave Planner'!Y171="",1,0))</f>
        <v/>
      </c>
      <c r="AB170" s="17" t="str">
        <f>IF(OR(TEXT(AB$13,"ddd")="Sun",AB$13="",$D170=""),"",IF('Leave Planner'!Z171="",1,0))</f>
        <v/>
      </c>
      <c r="AC170" s="17" t="str">
        <f>IF(OR(TEXT(AC$13,"ddd")="Sun",AC$13="",$D170=""),"",IF('Leave Planner'!AA171="",1,0))</f>
        <v/>
      </c>
      <c r="AD170" s="17" t="str">
        <f>IF(OR(TEXT(AD$13,"ddd")="Sun",AD$13="",$D170=""),"",IF('Leave Planner'!AB171="",1,0))</f>
        <v/>
      </c>
      <c r="AE170" s="17" t="str">
        <f>IF(OR(TEXT(AE$13,"ddd")="Sun",AE$13="",$D170=""),"",IF('Leave Planner'!AC171="",1,0))</f>
        <v/>
      </c>
      <c r="AF170" s="17" t="str">
        <f>IF(OR(TEXT(AF$13,"ddd")="Sun",AF$13="",$D170=""),"",IF('Leave Planner'!AD171="",1,0))</f>
        <v/>
      </c>
      <c r="AG170" s="17" t="str">
        <f>IF(OR(TEXT(AG$13,"ddd")="Sun",AG$13="",$D170=""),"",IF('Leave Planner'!AE171="",1,0))</f>
        <v/>
      </c>
      <c r="AH170" s="17" t="str">
        <f>IF(OR(TEXT(AH$13,"ddd")="Sun",AH$13="",$D170=""),"",IF('Leave Planner'!AF171="",1,0))</f>
        <v/>
      </c>
      <c r="AI170" s="17" t="str">
        <f>IF(OR(TEXT(AI$13,"ddd")="Sun",AI$13="",$D170=""),"",IF('Leave Planner'!AG171="",1,0))</f>
        <v/>
      </c>
      <c r="AJ170" s="17" t="str">
        <f>IF(OR(TEXT(AJ$13,"ddd")="Sun",AJ$13="",$D170=""),"",IF('Leave Planner'!AH171="",1,0))</f>
        <v/>
      </c>
    </row>
    <row r="171" spans="2:36" x14ac:dyDescent="0.75">
      <c r="B171" s="15"/>
      <c r="C171" s="22"/>
      <c r="D171" s="22"/>
      <c r="E171" s="42" t="str">
        <f t="shared" si="7"/>
        <v/>
      </c>
      <c r="F171" s="17" t="str">
        <f>IF(OR(TEXT(F$13,"ddd")="Sun",F$13="",$D171=""),"",IF('Leave Planner'!D172="",1,0))</f>
        <v/>
      </c>
      <c r="G171" s="17" t="str">
        <f>IF(OR(TEXT(G$13,"ddd")="Sun",G$13="",$D171=""),"",IF('Leave Planner'!E172="",1,0))</f>
        <v/>
      </c>
      <c r="H171" s="17" t="str">
        <f>IF(OR(TEXT(H$13,"ddd")="Sun",H$13="",$D171=""),"",IF('Leave Planner'!F172="",1,0))</f>
        <v/>
      </c>
      <c r="I171" s="17" t="str">
        <f>IF(OR(TEXT(I$13,"ddd")="Sun",I$13="",$D171=""),"",IF('Leave Planner'!G172="",1,0))</f>
        <v/>
      </c>
      <c r="J171" s="17" t="str">
        <f>IF(OR(TEXT(J$13,"ddd")="Sun",J$13="",$D171=""),"",IF('Leave Planner'!H172="",1,0))</f>
        <v/>
      </c>
      <c r="K171" s="17" t="str">
        <f>IF(OR(TEXT(K$13,"ddd")="Sun",K$13="",$D171=""),"",IF('Leave Planner'!I172="",1,0))</f>
        <v/>
      </c>
      <c r="L171" s="17" t="str">
        <f>IF(OR(TEXT(L$13,"ddd")="Sun",L$13="",$D171=""),"",IF('Leave Planner'!J172="",1,0))</f>
        <v/>
      </c>
      <c r="M171" s="17" t="str">
        <f>IF(OR(TEXT(M$13,"ddd")="Sun",M$13="",$D171=""),"",IF('Leave Planner'!K172="",1,0))</f>
        <v/>
      </c>
      <c r="N171" s="17" t="str">
        <f>IF(OR(TEXT(N$13,"ddd")="Sun",N$13="",$D171=""),"",IF('Leave Planner'!L172="",1,0))</f>
        <v/>
      </c>
      <c r="O171" s="17" t="str">
        <f>IF(OR(TEXT(O$13,"ddd")="Sun",O$13="",$D171=""),"",IF('Leave Planner'!M172="",1,0))</f>
        <v/>
      </c>
      <c r="P171" s="17" t="str">
        <f>IF(OR(TEXT(P$13,"ddd")="Sun",P$13="",$D171=""),"",IF('Leave Planner'!N172="",1,0))</f>
        <v/>
      </c>
      <c r="Q171" s="17" t="str">
        <f>IF(OR(TEXT(Q$13,"ddd")="Sun",Q$13="",$D171=""),"",IF('Leave Planner'!O172="",1,0))</f>
        <v/>
      </c>
      <c r="R171" s="17" t="str">
        <f>IF(OR(TEXT(R$13,"ddd")="Sun",R$13="",$D171=""),"",IF('Leave Planner'!P172="",1,0))</f>
        <v/>
      </c>
      <c r="S171" s="17" t="str">
        <f>IF(OR(TEXT(S$13,"ddd")="Sun",S$13="",$D171=""),"",IF('Leave Planner'!Q172="",1,0))</f>
        <v/>
      </c>
      <c r="T171" s="17" t="str">
        <f>IF(OR(TEXT(T$13,"ddd")="Sun",T$13="",$D171=""),"",IF('Leave Planner'!R172="",1,0))</f>
        <v/>
      </c>
      <c r="U171" s="17" t="str">
        <f>IF(OR(TEXT(U$13,"ddd")="Sun",U$13="",$D171=""),"",IF('Leave Planner'!S172="",1,0))</f>
        <v/>
      </c>
      <c r="V171" s="17" t="str">
        <f>IF(OR(TEXT(V$13,"ddd")="Sun",V$13="",$D171=""),"",IF('Leave Planner'!T172="",1,0))</f>
        <v/>
      </c>
      <c r="W171" s="17" t="str">
        <f>IF(OR(TEXT(W$13,"ddd")="Sun",W$13="",$D171=""),"",IF('Leave Planner'!U172="",1,0))</f>
        <v/>
      </c>
      <c r="X171" s="17" t="str">
        <f>IF(OR(TEXT(X$13,"ddd")="Sun",X$13="",$D171=""),"",IF('Leave Planner'!V172="",1,0))</f>
        <v/>
      </c>
      <c r="Y171" s="17" t="str">
        <f>IF(OR(TEXT(Y$13,"ddd")="Sun",Y$13="",$D171=""),"",IF('Leave Planner'!W172="",1,0))</f>
        <v/>
      </c>
      <c r="Z171" s="17" t="str">
        <f>IF(OR(TEXT(Z$13,"ddd")="Sun",Z$13="",$D171=""),"",IF('Leave Planner'!X172="",1,0))</f>
        <v/>
      </c>
      <c r="AA171" s="17" t="str">
        <f>IF(OR(TEXT(AA$13,"ddd")="Sun",AA$13="",$D171=""),"",IF('Leave Planner'!Y172="",1,0))</f>
        <v/>
      </c>
      <c r="AB171" s="17" t="str">
        <f>IF(OR(TEXT(AB$13,"ddd")="Sun",AB$13="",$D171=""),"",IF('Leave Planner'!Z172="",1,0))</f>
        <v/>
      </c>
      <c r="AC171" s="17" t="str">
        <f>IF(OR(TEXT(AC$13,"ddd")="Sun",AC$13="",$D171=""),"",IF('Leave Planner'!AA172="",1,0))</f>
        <v/>
      </c>
      <c r="AD171" s="17" t="str">
        <f>IF(OR(TEXT(AD$13,"ddd")="Sun",AD$13="",$D171=""),"",IF('Leave Planner'!AB172="",1,0))</f>
        <v/>
      </c>
      <c r="AE171" s="17" t="str">
        <f>IF(OR(TEXT(AE$13,"ddd")="Sun",AE$13="",$D171=""),"",IF('Leave Planner'!AC172="",1,0))</f>
        <v/>
      </c>
      <c r="AF171" s="17" t="str">
        <f>IF(OR(TEXT(AF$13,"ddd")="Sun",AF$13="",$D171=""),"",IF('Leave Planner'!AD172="",1,0))</f>
        <v/>
      </c>
      <c r="AG171" s="17" t="str">
        <f>IF(OR(TEXT(AG$13,"ddd")="Sun",AG$13="",$D171=""),"",IF('Leave Planner'!AE172="",1,0))</f>
        <v/>
      </c>
      <c r="AH171" s="17" t="str">
        <f>IF(OR(TEXT(AH$13,"ddd")="Sun",AH$13="",$D171=""),"",IF('Leave Planner'!AF172="",1,0))</f>
        <v/>
      </c>
      <c r="AI171" s="17" t="str">
        <f>IF(OR(TEXT(AI$13,"ddd")="Sun",AI$13="",$D171=""),"",IF('Leave Planner'!AG172="",1,0))</f>
        <v/>
      </c>
      <c r="AJ171" s="17" t="str">
        <f>IF(OR(TEXT(AJ$13,"ddd")="Sun",AJ$13="",$D171=""),"",IF('Leave Planner'!AH172="",1,0))</f>
        <v/>
      </c>
    </row>
    <row r="172" spans="2:36" x14ac:dyDescent="0.75">
      <c r="B172" s="15"/>
      <c r="C172" s="22"/>
      <c r="D172" s="22"/>
      <c r="E172" s="42" t="str">
        <f t="shared" si="7"/>
        <v/>
      </c>
      <c r="F172" s="17" t="str">
        <f>IF(OR(TEXT(F$13,"ddd")="Sun",F$13="",$D172=""),"",IF('Leave Planner'!D173="",1,0))</f>
        <v/>
      </c>
      <c r="G172" s="17" t="str">
        <f>IF(OR(TEXT(G$13,"ddd")="Sun",G$13="",$D172=""),"",IF('Leave Planner'!E173="",1,0))</f>
        <v/>
      </c>
      <c r="H172" s="17" t="str">
        <f>IF(OR(TEXT(H$13,"ddd")="Sun",H$13="",$D172=""),"",IF('Leave Planner'!F173="",1,0))</f>
        <v/>
      </c>
      <c r="I172" s="17" t="str">
        <f>IF(OR(TEXT(I$13,"ddd")="Sun",I$13="",$D172=""),"",IF('Leave Planner'!G173="",1,0))</f>
        <v/>
      </c>
      <c r="J172" s="17" t="str">
        <f>IF(OR(TEXT(J$13,"ddd")="Sun",J$13="",$D172=""),"",IF('Leave Planner'!H173="",1,0))</f>
        <v/>
      </c>
      <c r="K172" s="17" t="str">
        <f>IF(OR(TEXT(K$13,"ddd")="Sun",K$13="",$D172=""),"",IF('Leave Planner'!I173="",1,0))</f>
        <v/>
      </c>
      <c r="L172" s="17" t="str">
        <f>IF(OR(TEXT(L$13,"ddd")="Sun",L$13="",$D172=""),"",IF('Leave Planner'!J173="",1,0))</f>
        <v/>
      </c>
      <c r="M172" s="17" t="str">
        <f>IF(OR(TEXT(M$13,"ddd")="Sun",M$13="",$D172=""),"",IF('Leave Planner'!K173="",1,0))</f>
        <v/>
      </c>
      <c r="N172" s="17" t="str">
        <f>IF(OR(TEXT(N$13,"ddd")="Sun",N$13="",$D172=""),"",IF('Leave Planner'!L173="",1,0))</f>
        <v/>
      </c>
      <c r="O172" s="17" t="str">
        <f>IF(OR(TEXT(O$13,"ddd")="Sun",O$13="",$D172=""),"",IF('Leave Planner'!M173="",1,0))</f>
        <v/>
      </c>
      <c r="P172" s="17" t="str">
        <f>IF(OR(TEXT(P$13,"ddd")="Sun",P$13="",$D172=""),"",IF('Leave Planner'!N173="",1,0))</f>
        <v/>
      </c>
      <c r="Q172" s="17" t="str">
        <f>IF(OR(TEXT(Q$13,"ddd")="Sun",Q$13="",$D172=""),"",IF('Leave Planner'!O173="",1,0))</f>
        <v/>
      </c>
      <c r="R172" s="17" t="str">
        <f>IF(OR(TEXT(R$13,"ddd")="Sun",R$13="",$D172=""),"",IF('Leave Planner'!P173="",1,0))</f>
        <v/>
      </c>
      <c r="S172" s="17" t="str">
        <f>IF(OR(TEXT(S$13,"ddd")="Sun",S$13="",$D172=""),"",IF('Leave Planner'!Q173="",1,0))</f>
        <v/>
      </c>
      <c r="T172" s="17" t="str">
        <f>IF(OR(TEXT(T$13,"ddd")="Sun",T$13="",$D172=""),"",IF('Leave Planner'!R173="",1,0))</f>
        <v/>
      </c>
      <c r="U172" s="17" t="str">
        <f>IF(OR(TEXT(U$13,"ddd")="Sun",U$13="",$D172=""),"",IF('Leave Planner'!S173="",1,0))</f>
        <v/>
      </c>
      <c r="V172" s="17" t="str">
        <f>IF(OR(TEXT(V$13,"ddd")="Sun",V$13="",$D172=""),"",IF('Leave Planner'!T173="",1,0))</f>
        <v/>
      </c>
      <c r="W172" s="17" t="str">
        <f>IF(OR(TEXT(W$13,"ddd")="Sun",W$13="",$D172=""),"",IF('Leave Planner'!U173="",1,0))</f>
        <v/>
      </c>
      <c r="X172" s="17" t="str">
        <f>IF(OR(TEXT(X$13,"ddd")="Sun",X$13="",$D172=""),"",IF('Leave Planner'!V173="",1,0))</f>
        <v/>
      </c>
      <c r="Y172" s="17" t="str">
        <f>IF(OR(TEXT(Y$13,"ddd")="Sun",Y$13="",$D172=""),"",IF('Leave Planner'!W173="",1,0))</f>
        <v/>
      </c>
      <c r="Z172" s="17" t="str">
        <f>IF(OR(TEXT(Z$13,"ddd")="Sun",Z$13="",$D172=""),"",IF('Leave Planner'!X173="",1,0))</f>
        <v/>
      </c>
      <c r="AA172" s="17" t="str">
        <f>IF(OR(TEXT(AA$13,"ddd")="Sun",AA$13="",$D172=""),"",IF('Leave Planner'!Y173="",1,0))</f>
        <v/>
      </c>
      <c r="AB172" s="17" t="str">
        <f>IF(OR(TEXT(AB$13,"ddd")="Sun",AB$13="",$D172=""),"",IF('Leave Planner'!Z173="",1,0))</f>
        <v/>
      </c>
      <c r="AC172" s="17" t="str">
        <f>IF(OR(TEXT(AC$13,"ddd")="Sun",AC$13="",$D172=""),"",IF('Leave Planner'!AA173="",1,0))</f>
        <v/>
      </c>
      <c r="AD172" s="17" t="str">
        <f>IF(OR(TEXT(AD$13,"ddd")="Sun",AD$13="",$D172=""),"",IF('Leave Planner'!AB173="",1,0))</f>
        <v/>
      </c>
      <c r="AE172" s="17" t="str">
        <f>IF(OR(TEXT(AE$13,"ddd")="Sun",AE$13="",$D172=""),"",IF('Leave Planner'!AC173="",1,0))</f>
        <v/>
      </c>
      <c r="AF172" s="17" t="str">
        <f>IF(OR(TEXT(AF$13,"ddd")="Sun",AF$13="",$D172=""),"",IF('Leave Planner'!AD173="",1,0))</f>
        <v/>
      </c>
      <c r="AG172" s="17" t="str">
        <f>IF(OR(TEXT(AG$13,"ddd")="Sun",AG$13="",$D172=""),"",IF('Leave Planner'!AE173="",1,0))</f>
        <v/>
      </c>
      <c r="AH172" s="17" t="str">
        <f>IF(OR(TEXT(AH$13,"ddd")="Sun",AH$13="",$D172=""),"",IF('Leave Planner'!AF173="",1,0))</f>
        <v/>
      </c>
      <c r="AI172" s="17" t="str">
        <f>IF(OR(TEXT(AI$13,"ddd")="Sun",AI$13="",$D172=""),"",IF('Leave Planner'!AG173="",1,0))</f>
        <v/>
      </c>
      <c r="AJ172" s="17" t="str">
        <f>IF(OR(TEXT(AJ$13,"ddd")="Sun",AJ$13="",$D172=""),"",IF('Leave Planner'!AH173="",1,0))</f>
        <v/>
      </c>
    </row>
    <row r="173" spans="2:36" x14ac:dyDescent="0.75">
      <c r="B173" s="15"/>
      <c r="C173" s="22"/>
      <c r="D173" s="22"/>
      <c r="E173" s="42" t="str">
        <f t="shared" si="7"/>
        <v/>
      </c>
      <c r="F173" s="17" t="str">
        <f>IF(OR(TEXT(F$13,"ddd")="Sun",F$13="",$D173=""),"",IF('Leave Planner'!D174="",1,0))</f>
        <v/>
      </c>
      <c r="G173" s="17" t="str">
        <f>IF(OR(TEXT(G$13,"ddd")="Sun",G$13="",$D173=""),"",IF('Leave Planner'!E174="",1,0))</f>
        <v/>
      </c>
      <c r="H173" s="17" t="str">
        <f>IF(OR(TEXT(H$13,"ddd")="Sun",H$13="",$D173=""),"",IF('Leave Planner'!F174="",1,0))</f>
        <v/>
      </c>
      <c r="I173" s="17" t="str">
        <f>IF(OR(TEXT(I$13,"ddd")="Sun",I$13="",$D173=""),"",IF('Leave Planner'!G174="",1,0))</f>
        <v/>
      </c>
      <c r="J173" s="17" t="str">
        <f>IF(OR(TEXT(J$13,"ddd")="Sun",J$13="",$D173=""),"",IF('Leave Planner'!H174="",1,0))</f>
        <v/>
      </c>
      <c r="K173" s="17" t="str">
        <f>IF(OR(TEXT(K$13,"ddd")="Sun",K$13="",$D173=""),"",IF('Leave Planner'!I174="",1,0))</f>
        <v/>
      </c>
      <c r="L173" s="17" t="str">
        <f>IF(OR(TEXT(L$13,"ddd")="Sun",L$13="",$D173=""),"",IF('Leave Planner'!J174="",1,0))</f>
        <v/>
      </c>
      <c r="M173" s="17" t="str">
        <f>IF(OR(TEXT(M$13,"ddd")="Sun",M$13="",$D173=""),"",IF('Leave Planner'!K174="",1,0))</f>
        <v/>
      </c>
      <c r="N173" s="17" t="str">
        <f>IF(OR(TEXT(N$13,"ddd")="Sun",N$13="",$D173=""),"",IF('Leave Planner'!L174="",1,0))</f>
        <v/>
      </c>
      <c r="O173" s="17" t="str">
        <f>IF(OR(TEXT(O$13,"ddd")="Sun",O$13="",$D173=""),"",IF('Leave Planner'!M174="",1,0))</f>
        <v/>
      </c>
      <c r="P173" s="17" t="str">
        <f>IF(OR(TEXT(P$13,"ddd")="Sun",P$13="",$D173=""),"",IF('Leave Planner'!N174="",1,0))</f>
        <v/>
      </c>
      <c r="Q173" s="17" t="str">
        <f>IF(OR(TEXT(Q$13,"ddd")="Sun",Q$13="",$D173=""),"",IF('Leave Planner'!O174="",1,0))</f>
        <v/>
      </c>
      <c r="R173" s="17" t="str">
        <f>IF(OR(TEXT(R$13,"ddd")="Sun",R$13="",$D173=""),"",IF('Leave Planner'!P174="",1,0))</f>
        <v/>
      </c>
      <c r="S173" s="17" t="str">
        <f>IF(OR(TEXT(S$13,"ddd")="Sun",S$13="",$D173=""),"",IF('Leave Planner'!Q174="",1,0))</f>
        <v/>
      </c>
      <c r="T173" s="17" t="str">
        <f>IF(OR(TEXT(T$13,"ddd")="Sun",T$13="",$D173=""),"",IF('Leave Planner'!R174="",1,0))</f>
        <v/>
      </c>
      <c r="U173" s="17" t="str">
        <f>IF(OR(TEXT(U$13,"ddd")="Sun",U$13="",$D173=""),"",IF('Leave Planner'!S174="",1,0))</f>
        <v/>
      </c>
      <c r="V173" s="17" t="str">
        <f>IF(OR(TEXT(V$13,"ddd")="Sun",V$13="",$D173=""),"",IF('Leave Planner'!T174="",1,0))</f>
        <v/>
      </c>
      <c r="W173" s="17" t="str">
        <f>IF(OR(TEXT(W$13,"ddd")="Sun",W$13="",$D173=""),"",IF('Leave Planner'!U174="",1,0))</f>
        <v/>
      </c>
      <c r="X173" s="17" t="str">
        <f>IF(OR(TEXT(X$13,"ddd")="Sun",X$13="",$D173=""),"",IF('Leave Planner'!V174="",1,0))</f>
        <v/>
      </c>
      <c r="Y173" s="17" t="str">
        <f>IF(OR(TEXT(Y$13,"ddd")="Sun",Y$13="",$D173=""),"",IF('Leave Planner'!W174="",1,0))</f>
        <v/>
      </c>
      <c r="Z173" s="17" t="str">
        <f>IF(OR(TEXT(Z$13,"ddd")="Sun",Z$13="",$D173=""),"",IF('Leave Planner'!X174="",1,0))</f>
        <v/>
      </c>
      <c r="AA173" s="17" t="str">
        <f>IF(OR(TEXT(AA$13,"ddd")="Sun",AA$13="",$D173=""),"",IF('Leave Planner'!Y174="",1,0))</f>
        <v/>
      </c>
      <c r="AB173" s="17" t="str">
        <f>IF(OR(TEXT(AB$13,"ddd")="Sun",AB$13="",$D173=""),"",IF('Leave Planner'!Z174="",1,0))</f>
        <v/>
      </c>
      <c r="AC173" s="17" t="str">
        <f>IF(OR(TEXT(AC$13,"ddd")="Sun",AC$13="",$D173=""),"",IF('Leave Planner'!AA174="",1,0))</f>
        <v/>
      </c>
      <c r="AD173" s="17" t="str">
        <f>IF(OR(TEXT(AD$13,"ddd")="Sun",AD$13="",$D173=""),"",IF('Leave Planner'!AB174="",1,0))</f>
        <v/>
      </c>
      <c r="AE173" s="17" t="str">
        <f>IF(OR(TEXT(AE$13,"ddd")="Sun",AE$13="",$D173=""),"",IF('Leave Planner'!AC174="",1,0))</f>
        <v/>
      </c>
      <c r="AF173" s="17" t="str">
        <f>IF(OR(TEXT(AF$13,"ddd")="Sun",AF$13="",$D173=""),"",IF('Leave Planner'!AD174="",1,0))</f>
        <v/>
      </c>
      <c r="AG173" s="17" t="str">
        <f>IF(OR(TEXT(AG$13,"ddd")="Sun",AG$13="",$D173=""),"",IF('Leave Planner'!AE174="",1,0))</f>
        <v/>
      </c>
      <c r="AH173" s="17" t="str">
        <f>IF(OR(TEXT(AH$13,"ddd")="Sun",AH$13="",$D173=""),"",IF('Leave Planner'!AF174="",1,0))</f>
        <v/>
      </c>
      <c r="AI173" s="17" t="str">
        <f>IF(OR(TEXT(AI$13,"ddd")="Sun",AI$13="",$D173=""),"",IF('Leave Planner'!AG174="",1,0))</f>
        <v/>
      </c>
      <c r="AJ173" s="17" t="str">
        <f>IF(OR(TEXT(AJ$13,"ddd")="Sun",AJ$13="",$D173=""),"",IF('Leave Planner'!AH174="",1,0))</f>
        <v/>
      </c>
    </row>
    <row r="174" spans="2:36" x14ac:dyDescent="0.75">
      <c r="B174" s="15"/>
      <c r="C174" s="22"/>
      <c r="D174" s="22"/>
      <c r="E174" s="42" t="str">
        <f t="shared" si="7"/>
        <v/>
      </c>
      <c r="F174" s="17" t="str">
        <f>IF(OR(TEXT(F$13,"ddd")="Sun",F$13="",$D174=""),"",IF('Leave Planner'!D175="",1,0))</f>
        <v/>
      </c>
      <c r="G174" s="17" t="str">
        <f>IF(OR(TEXT(G$13,"ddd")="Sun",G$13="",$D174=""),"",IF('Leave Planner'!E175="",1,0))</f>
        <v/>
      </c>
      <c r="H174" s="17" t="str">
        <f>IF(OR(TEXT(H$13,"ddd")="Sun",H$13="",$D174=""),"",IF('Leave Planner'!F175="",1,0))</f>
        <v/>
      </c>
      <c r="I174" s="17" t="str">
        <f>IF(OR(TEXT(I$13,"ddd")="Sun",I$13="",$D174=""),"",IF('Leave Planner'!G175="",1,0))</f>
        <v/>
      </c>
      <c r="J174" s="17" t="str">
        <f>IF(OR(TEXT(J$13,"ddd")="Sun",J$13="",$D174=""),"",IF('Leave Planner'!H175="",1,0))</f>
        <v/>
      </c>
      <c r="K174" s="17" t="str">
        <f>IF(OR(TEXT(K$13,"ddd")="Sun",K$13="",$D174=""),"",IF('Leave Planner'!I175="",1,0))</f>
        <v/>
      </c>
      <c r="L174" s="17" t="str">
        <f>IF(OR(TEXT(L$13,"ddd")="Sun",L$13="",$D174=""),"",IF('Leave Planner'!J175="",1,0))</f>
        <v/>
      </c>
      <c r="M174" s="17" t="str">
        <f>IF(OR(TEXT(M$13,"ddd")="Sun",M$13="",$D174=""),"",IF('Leave Planner'!K175="",1,0))</f>
        <v/>
      </c>
      <c r="N174" s="17" t="str">
        <f>IF(OR(TEXT(N$13,"ddd")="Sun",N$13="",$D174=""),"",IF('Leave Planner'!L175="",1,0))</f>
        <v/>
      </c>
      <c r="O174" s="17" t="str">
        <f>IF(OR(TEXT(O$13,"ddd")="Sun",O$13="",$D174=""),"",IF('Leave Planner'!M175="",1,0))</f>
        <v/>
      </c>
      <c r="P174" s="17" t="str">
        <f>IF(OR(TEXT(P$13,"ddd")="Sun",P$13="",$D174=""),"",IF('Leave Planner'!N175="",1,0))</f>
        <v/>
      </c>
      <c r="Q174" s="17" t="str">
        <f>IF(OR(TEXT(Q$13,"ddd")="Sun",Q$13="",$D174=""),"",IF('Leave Planner'!O175="",1,0))</f>
        <v/>
      </c>
      <c r="R174" s="17" t="str">
        <f>IF(OR(TEXT(R$13,"ddd")="Sun",R$13="",$D174=""),"",IF('Leave Planner'!P175="",1,0))</f>
        <v/>
      </c>
      <c r="S174" s="17" t="str">
        <f>IF(OR(TEXT(S$13,"ddd")="Sun",S$13="",$D174=""),"",IF('Leave Planner'!Q175="",1,0))</f>
        <v/>
      </c>
      <c r="T174" s="17" t="str">
        <f>IF(OR(TEXT(T$13,"ddd")="Sun",T$13="",$D174=""),"",IF('Leave Planner'!R175="",1,0))</f>
        <v/>
      </c>
      <c r="U174" s="17" t="str">
        <f>IF(OR(TEXT(U$13,"ddd")="Sun",U$13="",$D174=""),"",IF('Leave Planner'!S175="",1,0))</f>
        <v/>
      </c>
      <c r="V174" s="17" t="str">
        <f>IF(OR(TEXT(V$13,"ddd")="Sun",V$13="",$D174=""),"",IF('Leave Planner'!T175="",1,0))</f>
        <v/>
      </c>
      <c r="W174" s="17" t="str">
        <f>IF(OR(TEXT(W$13,"ddd")="Sun",W$13="",$D174=""),"",IF('Leave Planner'!U175="",1,0))</f>
        <v/>
      </c>
      <c r="X174" s="17" t="str">
        <f>IF(OR(TEXT(X$13,"ddd")="Sun",X$13="",$D174=""),"",IF('Leave Planner'!V175="",1,0))</f>
        <v/>
      </c>
      <c r="Y174" s="17" t="str">
        <f>IF(OR(TEXT(Y$13,"ddd")="Sun",Y$13="",$D174=""),"",IF('Leave Planner'!W175="",1,0))</f>
        <v/>
      </c>
      <c r="Z174" s="17" t="str">
        <f>IF(OR(TEXT(Z$13,"ddd")="Sun",Z$13="",$D174=""),"",IF('Leave Planner'!X175="",1,0))</f>
        <v/>
      </c>
      <c r="AA174" s="17" t="str">
        <f>IF(OR(TEXT(AA$13,"ddd")="Sun",AA$13="",$D174=""),"",IF('Leave Planner'!Y175="",1,0))</f>
        <v/>
      </c>
      <c r="AB174" s="17" t="str">
        <f>IF(OR(TEXT(AB$13,"ddd")="Sun",AB$13="",$D174=""),"",IF('Leave Planner'!Z175="",1,0))</f>
        <v/>
      </c>
      <c r="AC174" s="17" t="str">
        <f>IF(OR(TEXT(AC$13,"ddd")="Sun",AC$13="",$D174=""),"",IF('Leave Planner'!AA175="",1,0))</f>
        <v/>
      </c>
      <c r="AD174" s="17" t="str">
        <f>IF(OR(TEXT(AD$13,"ddd")="Sun",AD$13="",$D174=""),"",IF('Leave Planner'!AB175="",1,0))</f>
        <v/>
      </c>
      <c r="AE174" s="17" t="str">
        <f>IF(OR(TEXT(AE$13,"ddd")="Sun",AE$13="",$D174=""),"",IF('Leave Planner'!AC175="",1,0))</f>
        <v/>
      </c>
      <c r="AF174" s="17" t="str">
        <f>IF(OR(TEXT(AF$13,"ddd")="Sun",AF$13="",$D174=""),"",IF('Leave Planner'!AD175="",1,0))</f>
        <v/>
      </c>
      <c r="AG174" s="17" t="str">
        <f>IF(OR(TEXT(AG$13,"ddd")="Sun",AG$13="",$D174=""),"",IF('Leave Planner'!AE175="",1,0))</f>
        <v/>
      </c>
      <c r="AH174" s="17" t="str">
        <f>IF(OR(TEXT(AH$13,"ddd")="Sun",AH$13="",$D174=""),"",IF('Leave Planner'!AF175="",1,0))</f>
        <v/>
      </c>
      <c r="AI174" s="17" t="str">
        <f>IF(OR(TEXT(AI$13,"ddd")="Sun",AI$13="",$D174=""),"",IF('Leave Planner'!AG175="",1,0))</f>
        <v/>
      </c>
      <c r="AJ174" s="17" t="str">
        <f>IF(OR(TEXT(AJ$13,"ddd")="Sun",AJ$13="",$D174=""),"",IF('Leave Planner'!AH175="",1,0))</f>
        <v/>
      </c>
    </row>
    <row r="175" spans="2:36" x14ac:dyDescent="0.75">
      <c r="B175" s="15"/>
      <c r="C175" s="22"/>
      <c r="D175" s="22"/>
      <c r="E175" s="42" t="str">
        <f t="shared" si="7"/>
        <v/>
      </c>
      <c r="F175" s="17" t="str">
        <f>IF(OR(TEXT(F$13,"ddd")="Sun",F$13="",$D175=""),"",IF('Leave Planner'!D176="",1,0))</f>
        <v/>
      </c>
      <c r="G175" s="17" t="str">
        <f>IF(OR(TEXT(G$13,"ddd")="Sun",G$13="",$D175=""),"",IF('Leave Planner'!E176="",1,0))</f>
        <v/>
      </c>
      <c r="H175" s="17" t="str">
        <f>IF(OR(TEXT(H$13,"ddd")="Sun",H$13="",$D175=""),"",IF('Leave Planner'!F176="",1,0))</f>
        <v/>
      </c>
      <c r="I175" s="17" t="str">
        <f>IF(OR(TEXT(I$13,"ddd")="Sun",I$13="",$D175=""),"",IF('Leave Planner'!G176="",1,0))</f>
        <v/>
      </c>
      <c r="J175" s="17" t="str">
        <f>IF(OR(TEXT(J$13,"ddd")="Sun",J$13="",$D175=""),"",IF('Leave Planner'!H176="",1,0))</f>
        <v/>
      </c>
      <c r="K175" s="17" t="str">
        <f>IF(OR(TEXT(K$13,"ddd")="Sun",K$13="",$D175=""),"",IF('Leave Planner'!I176="",1,0))</f>
        <v/>
      </c>
      <c r="L175" s="17" t="str">
        <f>IF(OR(TEXT(L$13,"ddd")="Sun",L$13="",$D175=""),"",IF('Leave Planner'!J176="",1,0))</f>
        <v/>
      </c>
      <c r="M175" s="17" t="str">
        <f>IF(OR(TEXT(M$13,"ddd")="Sun",M$13="",$D175=""),"",IF('Leave Planner'!K176="",1,0))</f>
        <v/>
      </c>
      <c r="N175" s="17" t="str">
        <f>IF(OR(TEXT(N$13,"ddd")="Sun",N$13="",$D175=""),"",IF('Leave Planner'!L176="",1,0))</f>
        <v/>
      </c>
      <c r="O175" s="17" t="str">
        <f>IF(OR(TEXT(O$13,"ddd")="Sun",O$13="",$D175=""),"",IF('Leave Planner'!M176="",1,0))</f>
        <v/>
      </c>
      <c r="P175" s="17" t="str">
        <f>IF(OR(TEXT(P$13,"ddd")="Sun",P$13="",$D175=""),"",IF('Leave Planner'!N176="",1,0))</f>
        <v/>
      </c>
      <c r="Q175" s="17" t="str">
        <f>IF(OR(TEXT(Q$13,"ddd")="Sun",Q$13="",$D175=""),"",IF('Leave Planner'!O176="",1,0))</f>
        <v/>
      </c>
      <c r="R175" s="17" t="str">
        <f>IF(OR(TEXT(R$13,"ddd")="Sun",R$13="",$D175=""),"",IF('Leave Planner'!P176="",1,0))</f>
        <v/>
      </c>
      <c r="S175" s="17" t="str">
        <f>IF(OR(TEXT(S$13,"ddd")="Sun",S$13="",$D175=""),"",IF('Leave Planner'!Q176="",1,0))</f>
        <v/>
      </c>
      <c r="T175" s="17" t="str">
        <f>IF(OR(TEXT(T$13,"ddd")="Sun",T$13="",$D175=""),"",IF('Leave Planner'!R176="",1,0))</f>
        <v/>
      </c>
      <c r="U175" s="17" t="str">
        <f>IF(OR(TEXT(U$13,"ddd")="Sun",U$13="",$D175=""),"",IF('Leave Planner'!S176="",1,0))</f>
        <v/>
      </c>
      <c r="V175" s="17" t="str">
        <f>IF(OR(TEXT(V$13,"ddd")="Sun",V$13="",$D175=""),"",IF('Leave Planner'!T176="",1,0))</f>
        <v/>
      </c>
      <c r="W175" s="17" t="str">
        <f>IF(OR(TEXT(W$13,"ddd")="Sun",W$13="",$D175=""),"",IF('Leave Planner'!U176="",1,0))</f>
        <v/>
      </c>
      <c r="X175" s="17" t="str">
        <f>IF(OR(TEXT(X$13,"ddd")="Sun",X$13="",$D175=""),"",IF('Leave Planner'!V176="",1,0))</f>
        <v/>
      </c>
      <c r="Y175" s="17" t="str">
        <f>IF(OR(TEXT(Y$13,"ddd")="Sun",Y$13="",$D175=""),"",IF('Leave Planner'!W176="",1,0))</f>
        <v/>
      </c>
      <c r="Z175" s="17" t="str">
        <f>IF(OR(TEXT(Z$13,"ddd")="Sun",Z$13="",$D175=""),"",IF('Leave Planner'!X176="",1,0))</f>
        <v/>
      </c>
      <c r="AA175" s="17" t="str">
        <f>IF(OR(TEXT(AA$13,"ddd")="Sun",AA$13="",$D175=""),"",IF('Leave Planner'!Y176="",1,0))</f>
        <v/>
      </c>
      <c r="AB175" s="17" t="str">
        <f>IF(OR(TEXT(AB$13,"ddd")="Sun",AB$13="",$D175=""),"",IF('Leave Planner'!Z176="",1,0))</f>
        <v/>
      </c>
      <c r="AC175" s="17" t="str">
        <f>IF(OR(TEXT(AC$13,"ddd")="Sun",AC$13="",$D175=""),"",IF('Leave Planner'!AA176="",1,0))</f>
        <v/>
      </c>
      <c r="AD175" s="17" t="str">
        <f>IF(OR(TEXT(AD$13,"ddd")="Sun",AD$13="",$D175=""),"",IF('Leave Planner'!AB176="",1,0))</f>
        <v/>
      </c>
      <c r="AE175" s="17" t="str">
        <f>IF(OR(TEXT(AE$13,"ddd")="Sun",AE$13="",$D175=""),"",IF('Leave Planner'!AC176="",1,0))</f>
        <v/>
      </c>
      <c r="AF175" s="17" t="str">
        <f>IF(OR(TEXT(AF$13,"ddd")="Sun",AF$13="",$D175=""),"",IF('Leave Planner'!AD176="",1,0))</f>
        <v/>
      </c>
      <c r="AG175" s="17" t="str">
        <f>IF(OR(TEXT(AG$13,"ddd")="Sun",AG$13="",$D175=""),"",IF('Leave Planner'!AE176="",1,0))</f>
        <v/>
      </c>
      <c r="AH175" s="17" t="str">
        <f>IF(OR(TEXT(AH$13,"ddd")="Sun",AH$13="",$D175=""),"",IF('Leave Planner'!AF176="",1,0))</f>
        <v/>
      </c>
      <c r="AI175" s="17" t="str">
        <f>IF(OR(TEXT(AI$13,"ddd")="Sun",AI$13="",$D175=""),"",IF('Leave Planner'!AG176="",1,0))</f>
        <v/>
      </c>
      <c r="AJ175" s="17" t="str">
        <f>IF(OR(TEXT(AJ$13,"ddd")="Sun",AJ$13="",$D175=""),"",IF('Leave Planner'!AH176="",1,0))</f>
        <v/>
      </c>
    </row>
    <row r="176" spans="2:36" x14ac:dyDescent="0.75">
      <c r="B176" s="15"/>
      <c r="C176" s="22"/>
      <c r="D176" s="22"/>
      <c r="E176" s="42" t="str">
        <f t="shared" si="7"/>
        <v/>
      </c>
      <c r="F176" s="17" t="str">
        <f>IF(OR(TEXT(F$13,"ddd")="Sun",F$13="",$D176=""),"",IF('Leave Planner'!D177="",1,0))</f>
        <v/>
      </c>
      <c r="G176" s="17" t="str">
        <f>IF(OR(TEXT(G$13,"ddd")="Sun",G$13="",$D176=""),"",IF('Leave Planner'!E177="",1,0))</f>
        <v/>
      </c>
      <c r="H176" s="17" t="str">
        <f>IF(OR(TEXT(H$13,"ddd")="Sun",H$13="",$D176=""),"",IF('Leave Planner'!F177="",1,0))</f>
        <v/>
      </c>
      <c r="I176" s="17" t="str">
        <f>IF(OR(TEXT(I$13,"ddd")="Sun",I$13="",$D176=""),"",IF('Leave Planner'!G177="",1,0))</f>
        <v/>
      </c>
      <c r="J176" s="17" t="str">
        <f>IF(OR(TEXT(J$13,"ddd")="Sun",J$13="",$D176=""),"",IF('Leave Planner'!H177="",1,0))</f>
        <v/>
      </c>
      <c r="K176" s="17" t="str">
        <f>IF(OR(TEXT(K$13,"ddd")="Sun",K$13="",$D176=""),"",IF('Leave Planner'!I177="",1,0))</f>
        <v/>
      </c>
      <c r="L176" s="17" t="str">
        <f>IF(OR(TEXT(L$13,"ddd")="Sun",L$13="",$D176=""),"",IF('Leave Planner'!J177="",1,0))</f>
        <v/>
      </c>
      <c r="M176" s="17" t="str">
        <f>IF(OR(TEXT(M$13,"ddd")="Sun",M$13="",$D176=""),"",IF('Leave Planner'!K177="",1,0))</f>
        <v/>
      </c>
      <c r="N176" s="17" t="str">
        <f>IF(OR(TEXT(N$13,"ddd")="Sun",N$13="",$D176=""),"",IF('Leave Planner'!L177="",1,0))</f>
        <v/>
      </c>
      <c r="O176" s="17" t="str">
        <f>IF(OR(TEXT(O$13,"ddd")="Sun",O$13="",$D176=""),"",IF('Leave Planner'!M177="",1,0))</f>
        <v/>
      </c>
      <c r="P176" s="17" t="str">
        <f>IF(OR(TEXT(P$13,"ddd")="Sun",P$13="",$D176=""),"",IF('Leave Planner'!N177="",1,0))</f>
        <v/>
      </c>
      <c r="Q176" s="17" t="str">
        <f>IF(OR(TEXT(Q$13,"ddd")="Sun",Q$13="",$D176=""),"",IF('Leave Planner'!O177="",1,0))</f>
        <v/>
      </c>
      <c r="R176" s="17" t="str">
        <f>IF(OR(TEXT(R$13,"ddd")="Sun",R$13="",$D176=""),"",IF('Leave Planner'!P177="",1,0))</f>
        <v/>
      </c>
      <c r="S176" s="17" t="str">
        <f>IF(OR(TEXT(S$13,"ddd")="Sun",S$13="",$D176=""),"",IF('Leave Planner'!Q177="",1,0))</f>
        <v/>
      </c>
      <c r="T176" s="17" t="str">
        <f>IF(OR(TEXT(T$13,"ddd")="Sun",T$13="",$D176=""),"",IF('Leave Planner'!R177="",1,0))</f>
        <v/>
      </c>
      <c r="U176" s="17" t="str">
        <f>IF(OR(TEXT(U$13,"ddd")="Sun",U$13="",$D176=""),"",IF('Leave Planner'!S177="",1,0))</f>
        <v/>
      </c>
      <c r="V176" s="17" t="str">
        <f>IF(OR(TEXT(V$13,"ddd")="Sun",V$13="",$D176=""),"",IF('Leave Planner'!T177="",1,0))</f>
        <v/>
      </c>
      <c r="W176" s="17" t="str">
        <f>IF(OR(TEXT(W$13,"ddd")="Sun",W$13="",$D176=""),"",IF('Leave Planner'!U177="",1,0))</f>
        <v/>
      </c>
      <c r="X176" s="17" t="str">
        <f>IF(OR(TEXT(X$13,"ddd")="Sun",X$13="",$D176=""),"",IF('Leave Planner'!V177="",1,0))</f>
        <v/>
      </c>
      <c r="Y176" s="17" t="str">
        <f>IF(OR(TEXT(Y$13,"ddd")="Sun",Y$13="",$D176=""),"",IF('Leave Planner'!W177="",1,0))</f>
        <v/>
      </c>
      <c r="Z176" s="17" t="str">
        <f>IF(OR(TEXT(Z$13,"ddd")="Sun",Z$13="",$D176=""),"",IF('Leave Planner'!X177="",1,0))</f>
        <v/>
      </c>
      <c r="AA176" s="17" t="str">
        <f>IF(OR(TEXT(AA$13,"ddd")="Sun",AA$13="",$D176=""),"",IF('Leave Planner'!Y177="",1,0))</f>
        <v/>
      </c>
      <c r="AB176" s="17" t="str">
        <f>IF(OR(TEXT(AB$13,"ddd")="Sun",AB$13="",$D176=""),"",IF('Leave Planner'!Z177="",1,0))</f>
        <v/>
      </c>
      <c r="AC176" s="17" t="str">
        <f>IF(OR(TEXT(AC$13,"ddd")="Sun",AC$13="",$D176=""),"",IF('Leave Planner'!AA177="",1,0))</f>
        <v/>
      </c>
      <c r="AD176" s="17" t="str">
        <f>IF(OR(TEXT(AD$13,"ddd")="Sun",AD$13="",$D176=""),"",IF('Leave Planner'!AB177="",1,0))</f>
        <v/>
      </c>
      <c r="AE176" s="17" t="str">
        <f>IF(OR(TEXT(AE$13,"ddd")="Sun",AE$13="",$D176=""),"",IF('Leave Planner'!AC177="",1,0))</f>
        <v/>
      </c>
      <c r="AF176" s="17" t="str">
        <f>IF(OR(TEXT(AF$13,"ddd")="Sun",AF$13="",$D176=""),"",IF('Leave Planner'!AD177="",1,0))</f>
        <v/>
      </c>
      <c r="AG176" s="17" t="str">
        <f>IF(OR(TEXT(AG$13,"ddd")="Sun",AG$13="",$D176=""),"",IF('Leave Planner'!AE177="",1,0))</f>
        <v/>
      </c>
      <c r="AH176" s="17" t="str">
        <f>IF(OR(TEXT(AH$13,"ddd")="Sun",AH$13="",$D176=""),"",IF('Leave Planner'!AF177="",1,0))</f>
        <v/>
      </c>
      <c r="AI176" s="17" t="str">
        <f>IF(OR(TEXT(AI$13,"ddd")="Sun",AI$13="",$D176=""),"",IF('Leave Planner'!AG177="",1,0))</f>
        <v/>
      </c>
      <c r="AJ176" s="17" t="str">
        <f>IF(OR(TEXT(AJ$13,"ddd")="Sun",AJ$13="",$D176=""),"",IF('Leave Planner'!AH177="",1,0))</f>
        <v/>
      </c>
    </row>
    <row r="177" spans="2:36" x14ac:dyDescent="0.75">
      <c r="B177" s="15"/>
      <c r="C177" s="22"/>
      <c r="D177" s="22"/>
      <c r="E177" s="42" t="str">
        <f t="shared" si="7"/>
        <v/>
      </c>
      <c r="F177" s="17" t="str">
        <f>IF(OR(TEXT(F$13,"ddd")="Sun",F$13="",$D177=""),"",IF('Leave Planner'!D178="",1,0))</f>
        <v/>
      </c>
      <c r="G177" s="17" t="str">
        <f>IF(OR(TEXT(G$13,"ddd")="Sun",G$13="",$D177=""),"",IF('Leave Planner'!E178="",1,0))</f>
        <v/>
      </c>
      <c r="H177" s="17" t="str">
        <f>IF(OR(TEXT(H$13,"ddd")="Sun",H$13="",$D177=""),"",IF('Leave Planner'!F178="",1,0))</f>
        <v/>
      </c>
      <c r="I177" s="17" t="str">
        <f>IF(OR(TEXT(I$13,"ddd")="Sun",I$13="",$D177=""),"",IF('Leave Planner'!G178="",1,0))</f>
        <v/>
      </c>
      <c r="J177" s="17" t="str">
        <f>IF(OR(TEXT(J$13,"ddd")="Sun",J$13="",$D177=""),"",IF('Leave Planner'!H178="",1,0))</f>
        <v/>
      </c>
      <c r="K177" s="17" t="str">
        <f>IF(OR(TEXT(K$13,"ddd")="Sun",K$13="",$D177=""),"",IF('Leave Planner'!I178="",1,0))</f>
        <v/>
      </c>
      <c r="L177" s="17" t="str">
        <f>IF(OR(TEXT(L$13,"ddd")="Sun",L$13="",$D177=""),"",IF('Leave Planner'!J178="",1,0))</f>
        <v/>
      </c>
      <c r="M177" s="17" t="str">
        <f>IF(OR(TEXT(M$13,"ddd")="Sun",M$13="",$D177=""),"",IF('Leave Planner'!K178="",1,0))</f>
        <v/>
      </c>
      <c r="N177" s="17" t="str">
        <f>IF(OR(TEXT(N$13,"ddd")="Sun",N$13="",$D177=""),"",IF('Leave Planner'!L178="",1,0))</f>
        <v/>
      </c>
      <c r="O177" s="17" t="str">
        <f>IF(OR(TEXT(O$13,"ddd")="Sun",O$13="",$D177=""),"",IF('Leave Planner'!M178="",1,0))</f>
        <v/>
      </c>
      <c r="P177" s="17" t="str">
        <f>IF(OR(TEXT(P$13,"ddd")="Sun",P$13="",$D177=""),"",IF('Leave Planner'!N178="",1,0))</f>
        <v/>
      </c>
      <c r="Q177" s="17" t="str">
        <f>IF(OR(TEXT(Q$13,"ddd")="Sun",Q$13="",$D177=""),"",IF('Leave Planner'!O178="",1,0))</f>
        <v/>
      </c>
      <c r="R177" s="17" t="str">
        <f>IF(OR(TEXT(R$13,"ddd")="Sun",R$13="",$D177=""),"",IF('Leave Planner'!P178="",1,0))</f>
        <v/>
      </c>
      <c r="S177" s="17" t="str">
        <f>IF(OR(TEXT(S$13,"ddd")="Sun",S$13="",$D177=""),"",IF('Leave Planner'!Q178="",1,0))</f>
        <v/>
      </c>
      <c r="T177" s="17" t="str">
        <f>IF(OR(TEXT(T$13,"ddd")="Sun",T$13="",$D177=""),"",IF('Leave Planner'!R178="",1,0))</f>
        <v/>
      </c>
      <c r="U177" s="17" t="str">
        <f>IF(OR(TEXT(U$13,"ddd")="Sun",U$13="",$D177=""),"",IF('Leave Planner'!S178="",1,0))</f>
        <v/>
      </c>
      <c r="V177" s="17" t="str">
        <f>IF(OR(TEXT(V$13,"ddd")="Sun",V$13="",$D177=""),"",IF('Leave Planner'!T178="",1,0))</f>
        <v/>
      </c>
      <c r="W177" s="17" t="str">
        <f>IF(OR(TEXT(W$13,"ddd")="Sun",W$13="",$D177=""),"",IF('Leave Planner'!U178="",1,0))</f>
        <v/>
      </c>
      <c r="X177" s="17" t="str">
        <f>IF(OR(TEXT(X$13,"ddd")="Sun",X$13="",$D177=""),"",IF('Leave Planner'!V178="",1,0))</f>
        <v/>
      </c>
      <c r="Y177" s="17" t="str">
        <f>IF(OR(TEXT(Y$13,"ddd")="Sun",Y$13="",$D177=""),"",IF('Leave Planner'!W178="",1,0))</f>
        <v/>
      </c>
      <c r="Z177" s="17" t="str">
        <f>IF(OR(TEXT(Z$13,"ddd")="Sun",Z$13="",$D177=""),"",IF('Leave Planner'!X178="",1,0))</f>
        <v/>
      </c>
      <c r="AA177" s="17" t="str">
        <f>IF(OR(TEXT(AA$13,"ddd")="Sun",AA$13="",$D177=""),"",IF('Leave Planner'!Y178="",1,0))</f>
        <v/>
      </c>
      <c r="AB177" s="17" t="str">
        <f>IF(OR(TEXT(AB$13,"ddd")="Sun",AB$13="",$D177=""),"",IF('Leave Planner'!Z178="",1,0))</f>
        <v/>
      </c>
      <c r="AC177" s="17" t="str">
        <f>IF(OR(TEXT(AC$13,"ddd")="Sun",AC$13="",$D177=""),"",IF('Leave Planner'!AA178="",1,0))</f>
        <v/>
      </c>
      <c r="AD177" s="17" t="str">
        <f>IF(OR(TEXT(AD$13,"ddd")="Sun",AD$13="",$D177=""),"",IF('Leave Planner'!AB178="",1,0))</f>
        <v/>
      </c>
      <c r="AE177" s="17" t="str">
        <f>IF(OR(TEXT(AE$13,"ddd")="Sun",AE$13="",$D177=""),"",IF('Leave Planner'!AC178="",1,0))</f>
        <v/>
      </c>
      <c r="AF177" s="17" t="str">
        <f>IF(OR(TEXT(AF$13,"ddd")="Sun",AF$13="",$D177=""),"",IF('Leave Planner'!AD178="",1,0))</f>
        <v/>
      </c>
      <c r="AG177" s="17" t="str">
        <f>IF(OR(TEXT(AG$13,"ddd")="Sun",AG$13="",$D177=""),"",IF('Leave Planner'!AE178="",1,0))</f>
        <v/>
      </c>
      <c r="AH177" s="17" t="str">
        <f>IF(OR(TEXT(AH$13,"ddd")="Sun",AH$13="",$D177=""),"",IF('Leave Planner'!AF178="",1,0))</f>
        <v/>
      </c>
      <c r="AI177" s="17" t="str">
        <f>IF(OR(TEXT(AI$13,"ddd")="Sun",AI$13="",$D177=""),"",IF('Leave Planner'!AG178="",1,0))</f>
        <v/>
      </c>
      <c r="AJ177" s="17" t="str">
        <f>IF(OR(TEXT(AJ$13,"ddd")="Sun",AJ$13="",$D177=""),"",IF('Leave Planner'!AH178="",1,0))</f>
        <v/>
      </c>
    </row>
    <row r="178" spans="2:36" x14ac:dyDescent="0.75">
      <c r="B178" s="15"/>
      <c r="C178" s="22"/>
      <c r="D178" s="22"/>
      <c r="E178" s="42" t="str">
        <f t="shared" si="7"/>
        <v/>
      </c>
      <c r="F178" s="17" t="str">
        <f>IF(OR(TEXT(F$13,"ddd")="Sun",F$13="",$D178=""),"",IF('Leave Planner'!D179="",1,0))</f>
        <v/>
      </c>
      <c r="G178" s="17" t="str">
        <f>IF(OR(TEXT(G$13,"ddd")="Sun",G$13="",$D178=""),"",IF('Leave Planner'!E179="",1,0))</f>
        <v/>
      </c>
      <c r="H178" s="17" t="str">
        <f>IF(OR(TEXT(H$13,"ddd")="Sun",H$13="",$D178=""),"",IF('Leave Planner'!F179="",1,0))</f>
        <v/>
      </c>
      <c r="I178" s="17" t="str">
        <f>IF(OR(TEXT(I$13,"ddd")="Sun",I$13="",$D178=""),"",IF('Leave Planner'!G179="",1,0))</f>
        <v/>
      </c>
      <c r="J178" s="17" t="str">
        <f>IF(OR(TEXT(J$13,"ddd")="Sun",J$13="",$D178=""),"",IF('Leave Planner'!H179="",1,0))</f>
        <v/>
      </c>
      <c r="K178" s="17" t="str">
        <f>IF(OR(TEXT(K$13,"ddd")="Sun",K$13="",$D178=""),"",IF('Leave Planner'!I179="",1,0))</f>
        <v/>
      </c>
      <c r="L178" s="17" t="str">
        <f>IF(OR(TEXT(L$13,"ddd")="Sun",L$13="",$D178=""),"",IF('Leave Planner'!J179="",1,0))</f>
        <v/>
      </c>
      <c r="M178" s="17" t="str">
        <f>IF(OR(TEXT(M$13,"ddd")="Sun",M$13="",$D178=""),"",IF('Leave Planner'!K179="",1,0))</f>
        <v/>
      </c>
      <c r="N178" s="17" t="str">
        <f>IF(OR(TEXT(N$13,"ddd")="Sun",N$13="",$D178=""),"",IF('Leave Planner'!L179="",1,0))</f>
        <v/>
      </c>
      <c r="O178" s="17" t="str">
        <f>IF(OR(TEXT(O$13,"ddd")="Sun",O$13="",$D178=""),"",IF('Leave Planner'!M179="",1,0))</f>
        <v/>
      </c>
      <c r="P178" s="17" t="str">
        <f>IF(OR(TEXT(P$13,"ddd")="Sun",P$13="",$D178=""),"",IF('Leave Planner'!N179="",1,0))</f>
        <v/>
      </c>
      <c r="Q178" s="17" t="str">
        <f>IF(OR(TEXT(Q$13,"ddd")="Sun",Q$13="",$D178=""),"",IF('Leave Planner'!O179="",1,0))</f>
        <v/>
      </c>
      <c r="R178" s="17" t="str">
        <f>IF(OR(TEXT(R$13,"ddd")="Sun",R$13="",$D178=""),"",IF('Leave Planner'!P179="",1,0))</f>
        <v/>
      </c>
      <c r="S178" s="17" t="str">
        <f>IF(OR(TEXT(S$13,"ddd")="Sun",S$13="",$D178=""),"",IF('Leave Planner'!Q179="",1,0))</f>
        <v/>
      </c>
      <c r="T178" s="17" t="str">
        <f>IF(OR(TEXT(T$13,"ddd")="Sun",T$13="",$D178=""),"",IF('Leave Planner'!R179="",1,0))</f>
        <v/>
      </c>
      <c r="U178" s="17" t="str">
        <f>IF(OR(TEXT(U$13,"ddd")="Sun",U$13="",$D178=""),"",IF('Leave Planner'!S179="",1,0))</f>
        <v/>
      </c>
      <c r="V178" s="17" t="str">
        <f>IF(OR(TEXT(V$13,"ddd")="Sun",V$13="",$D178=""),"",IF('Leave Planner'!T179="",1,0))</f>
        <v/>
      </c>
      <c r="W178" s="17" t="str">
        <f>IF(OR(TEXT(W$13,"ddd")="Sun",W$13="",$D178=""),"",IF('Leave Planner'!U179="",1,0))</f>
        <v/>
      </c>
      <c r="X178" s="17" t="str">
        <f>IF(OR(TEXT(X$13,"ddd")="Sun",X$13="",$D178=""),"",IF('Leave Planner'!V179="",1,0))</f>
        <v/>
      </c>
      <c r="Y178" s="17" t="str">
        <f>IF(OR(TEXT(Y$13,"ddd")="Sun",Y$13="",$D178=""),"",IF('Leave Planner'!W179="",1,0))</f>
        <v/>
      </c>
      <c r="Z178" s="17" t="str">
        <f>IF(OR(TEXT(Z$13,"ddd")="Sun",Z$13="",$D178=""),"",IF('Leave Planner'!X179="",1,0))</f>
        <v/>
      </c>
      <c r="AA178" s="17" t="str">
        <f>IF(OR(TEXT(AA$13,"ddd")="Sun",AA$13="",$D178=""),"",IF('Leave Planner'!Y179="",1,0))</f>
        <v/>
      </c>
      <c r="AB178" s="17" t="str">
        <f>IF(OR(TEXT(AB$13,"ddd")="Sun",AB$13="",$D178=""),"",IF('Leave Planner'!Z179="",1,0))</f>
        <v/>
      </c>
      <c r="AC178" s="17" t="str">
        <f>IF(OR(TEXT(AC$13,"ddd")="Sun",AC$13="",$D178=""),"",IF('Leave Planner'!AA179="",1,0))</f>
        <v/>
      </c>
      <c r="AD178" s="17" t="str">
        <f>IF(OR(TEXT(AD$13,"ddd")="Sun",AD$13="",$D178=""),"",IF('Leave Planner'!AB179="",1,0))</f>
        <v/>
      </c>
      <c r="AE178" s="17" t="str">
        <f>IF(OR(TEXT(AE$13,"ddd")="Sun",AE$13="",$D178=""),"",IF('Leave Planner'!AC179="",1,0))</f>
        <v/>
      </c>
      <c r="AF178" s="17" t="str">
        <f>IF(OR(TEXT(AF$13,"ddd")="Sun",AF$13="",$D178=""),"",IF('Leave Planner'!AD179="",1,0))</f>
        <v/>
      </c>
      <c r="AG178" s="17" t="str">
        <f>IF(OR(TEXT(AG$13,"ddd")="Sun",AG$13="",$D178=""),"",IF('Leave Planner'!AE179="",1,0))</f>
        <v/>
      </c>
      <c r="AH178" s="17" t="str">
        <f>IF(OR(TEXT(AH$13,"ddd")="Sun",AH$13="",$D178=""),"",IF('Leave Planner'!AF179="",1,0))</f>
        <v/>
      </c>
      <c r="AI178" s="17" t="str">
        <f>IF(OR(TEXT(AI$13,"ddd")="Sun",AI$13="",$D178=""),"",IF('Leave Planner'!AG179="",1,0))</f>
        <v/>
      </c>
      <c r="AJ178" s="17" t="str">
        <f>IF(OR(TEXT(AJ$13,"ddd")="Sun",AJ$13="",$D178=""),"",IF('Leave Planner'!AH179="",1,0))</f>
        <v/>
      </c>
    </row>
    <row r="179" spans="2:36" x14ac:dyDescent="0.75">
      <c r="B179" s="15"/>
      <c r="C179" s="22"/>
      <c r="D179" s="22"/>
      <c r="E179" s="42" t="str">
        <f t="shared" si="7"/>
        <v/>
      </c>
      <c r="F179" s="17" t="str">
        <f>IF(OR(TEXT(F$13,"ddd")="Sun",F$13="",$D179=""),"",IF('Leave Planner'!D180="",1,0))</f>
        <v/>
      </c>
      <c r="G179" s="17" t="str">
        <f>IF(OR(TEXT(G$13,"ddd")="Sun",G$13="",$D179=""),"",IF('Leave Planner'!E180="",1,0))</f>
        <v/>
      </c>
      <c r="H179" s="17" t="str">
        <f>IF(OR(TEXT(H$13,"ddd")="Sun",H$13="",$D179=""),"",IF('Leave Planner'!F180="",1,0))</f>
        <v/>
      </c>
      <c r="I179" s="17" t="str">
        <f>IF(OR(TEXT(I$13,"ddd")="Sun",I$13="",$D179=""),"",IF('Leave Planner'!G180="",1,0))</f>
        <v/>
      </c>
      <c r="J179" s="17" t="str">
        <f>IF(OR(TEXT(J$13,"ddd")="Sun",J$13="",$D179=""),"",IF('Leave Planner'!H180="",1,0))</f>
        <v/>
      </c>
      <c r="K179" s="17" t="str">
        <f>IF(OR(TEXT(K$13,"ddd")="Sun",K$13="",$D179=""),"",IF('Leave Planner'!I180="",1,0))</f>
        <v/>
      </c>
      <c r="L179" s="17" t="str">
        <f>IF(OR(TEXT(L$13,"ddd")="Sun",L$13="",$D179=""),"",IF('Leave Planner'!J180="",1,0))</f>
        <v/>
      </c>
      <c r="M179" s="17" t="str">
        <f>IF(OR(TEXT(M$13,"ddd")="Sun",M$13="",$D179=""),"",IF('Leave Planner'!K180="",1,0))</f>
        <v/>
      </c>
      <c r="N179" s="17" t="str">
        <f>IF(OR(TEXT(N$13,"ddd")="Sun",N$13="",$D179=""),"",IF('Leave Planner'!L180="",1,0))</f>
        <v/>
      </c>
      <c r="O179" s="17" t="str">
        <f>IF(OR(TEXT(O$13,"ddd")="Sun",O$13="",$D179=""),"",IF('Leave Planner'!M180="",1,0))</f>
        <v/>
      </c>
      <c r="P179" s="17" t="str">
        <f>IF(OR(TEXT(P$13,"ddd")="Sun",P$13="",$D179=""),"",IF('Leave Planner'!N180="",1,0))</f>
        <v/>
      </c>
      <c r="Q179" s="17" t="str">
        <f>IF(OR(TEXT(Q$13,"ddd")="Sun",Q$13="",$D179=""),"",IF('Leave Planner'!O180="",1,0))</f>
        <v/>
      </c>
      <c r="R179" s="17" t="str">
        <f>IF(OR(TEXT(R$13,"ddd")="Sun",R$13="",$D179=""),"",IF('Leave Planner'!P180="",1,0))</f>
        <v/>
      </c>
      <c r="S179" s="17" t="str">
        <f>IF(OR(TEXT(S$13,"ddd")="Sun",S$13="",$D179=""),"",IF('Leave Planner'!Q180="",1,0))</f>
        <v/>
      </c>
      <c r="T179" s="17" t="str">
        <f>IF(OR(TEXT(T$13,"ddd")="Sun",T$13="",$D179=""),"",IF('Leave Planner'!R180="",1,0))</f>
        <v/>
      </c>
      <c r="U179" s="17" t="str">
        <f>IF(OR(TEXT(U$13,"ddd")="Sun",U$13="",$D179=""),"",IF('Leave Planner'!S180="",1,0))</f>
        <v/>
      </c>
      <c r="V179" s="17" t="str">
        <f>IF(OR(TEXT(V$13,"ddd")="Sun",V$13="",$D179=""),"",IF('Leave Planner'!T180="",1,0))</f>
        <v/>
      </c>
      <c r="W179" s="17" t="str">
        <f>IF(OR(TEXT(W$13,"ddd")="Sun",W$13="",$D179=""),"",IF('Leave Planner'!U180="",1,0))</f>
        <v/>
      </c>
      <c r="X179" s="17" t="str">
        <f>IF(OR(TEXT(X$13,"ddd")="Sun",X$13="",$D179=""),"",IF('Leave Planner'!V180="",1,0))</f>
        <v/>
      </c>
      <c r="Y179" s="17" t="str">
        <f>IF(OR(TEXT(Y$13,"ddd")="Sun",Y$13="",$D179=""),"",IF('Leave Planner'!W180="",1,0))</f>
        <v/>
      </c>
      <c r="Z179" s="17" t="str">
        <f>IF(OR(TEXT(Z$13,"ddd")="Sun",Z$13="",$D179=""),"",IF('Leave Planner'!X180="",1,0))</f>
        <v/>
      </c>
      <c r="AA179" s="17" t="str">
        <f>IF(OR(TEXT(AA$13,"ddd")="Sun",AA$13="",$D179=""),"",IF('Leave Planner'!Y180="",1,0))</f>
        <v/>
      </c>
      <c r="AB179" s="17" t="str">
        <f>IF(OR(TEXT(AB$13,"ddd")="Sun",AB$13="",$D179=""),"",IF('Leave Planner'!Z180="",1,0))</f>
        <v/>
      </c>
      <c r="AC179" s="17" t="str">
        <f>IF(OR(TEXT(AC$13,"ddd")="Sun",AC$13="",$D179=""),"",IF('Leave Planner'!AA180="",1,0))</f>
        <v/>
      </c>
      <c r="AD179" s="17" t="str">
        <f>IF(OR(TEXT(AD$13,"ddd")="Sun",AD$13="",$D179=""),"",IF('Leave Planner'!AB180="",1,0))</f>
        <v/>
      </c>
      <c r="AE179" s="17" t="str">
        <f>IF(OR(TEXT(AE$13,"ddd")="Sun",AE$13="",$D179=""),"",IF('Leave Planner'!AC180="",1,0))</f>
        <v/>
      </c>
      <c r="AF179" s="17" t="str">
        <f>IF(OR(TEXT(AF$13,"ddd")="Sun",AF$13="",$D179=""),"",IF('Leave Planner'!AD180="",1,0))</f>
        <v/>
      </c>
      <c r="AG179" s="17" t="str">
        <f>IF(OR(TEXT(AG$13,"ddd")="Sun",AG$13="",$D179=""),"",IF('Leave Planner'!AE180="",1,0))</f>
        <v/>
      </c>
      <c r="AH179" s="17" t="str">
        <f>IF(OR(TEXT(AH$13,"ddd")="Sun",AH$13="",$D179=""),"",IF('Leave Planner'!AF180="",1,0))</f>
        <v/>
      </c>
      <c r="AI179" s="17" t="str">
        <f>IF(OR(TEXT(AI$13,"ddd")="Sun",AI$13="",$D179=""),"",IF('Leave Planner'!AG180="",1,0))</f>
        <v/>
      </c>
      <c r="AJ179" s="17" t="str">
        <f>IF(OR(TEXT(AJ$13,"ddd")="Sun",AJ$13="",$D179=""),"",IF('Leave Planner'!AH180="",1,0))</f>
        <v/>
      </c>
    </row>
    <row r="180" spans="2:36" x14ac:dyDescent="0.75">
      <c r="B180" s="15"/>
      <c r="C180" s="22"/>
      <c r="D180" s="22"/>
      <c r="E180" s="42" t="str">
        <f t="shared" si="7"/>
        <v/>
      </c>
      <c r="F180" s="17" t="str">
        <f>IF(OR(TEXT(F$13,"ddd")="Sun",F$13="",$D180=""),"",IF('Leave Planner'!D181="",1,0))</f>
        <v/>
      </c>
      <c r="G180" s="17" t="str">
        <f>IF(OR(TEXT(G$13,"ddd")="Sun",G$13="",$D180=""),"",IF('Leave Planner'!E181="",1,0))</f>
        <v/>
      </c>
      <c r="H180" s="17" t="str">
        <f>IF(OR(TEXT(H$13,"ddd")="Sun",H$13="",$D180=""),"",IF('Leave Planner'!F181="",1,0))</f>
        <v/>
      </c>
      <c r="I180" s="17" t="str">
        <f>IF(OR(TEXT(I$13,"ddd")="Sun",I$13="",$D180=""),"",IF('Leave Planner'!G181="",1,0))</f>
        <v/>
      </c>
      <c r="J180" s="17" t="str">
        <f>IF(OR(TEXT(J$13,"ddd")="Sun",J$13="",$D180=""),"",IF('Leave Planner'!H181="",1,0))</f>
        <v/>
      </c>
      <c r="K180" s="17" t="str">
        <f>IF(OR(TEXT(K$13,"ddd")="Sun",K$13="",$D180=""),"",IF('Leave Planner'!I181="",1,0))</f>
        <v/>
      </c>
      <c r="L180" s="17" t="str">
        <f>IF(OR(TEXT(L$13,"ddd")="Sun",L$13="",$D180=""),"",IF('Leave Planner'!J181="",1,0))</f>
        <v/>
      </c>
      <c r="M180" s="17" t="str">
        <f>IF(OR(TEXT(M$13,"ddd")="Sun",M$13="",$D180=""),"",IF('Leave Planner'!K181="",1,0))</f>
        <v/>
      </c>
      <c r="N180" s="17" t="str">
        <f>IF(OR(TEXT(N$13,"ddd")="Sun",N$13="",$D180=""),"",IF('Leave Planner'!L181="",1,0))</f>
        <v/>
      </c>
      <c r="O180" s="17" t="str">
        <f>IF(OR(TEXT(O$13,"ddd")="Sun",O$13="",$D180=""),"",IF('Leave Planner'!M181="",1,0))</f>
        <v/>
      </c>
      <c r="P180" s="17" t="str">
        <f>IF(OR(TEXT(P$13,"ddd")="Sun",P$13="",$D180=""),"",IF('Leave Planner'!N181="",1,0))</f>
        <v/>
      </c>
      <c r="Q180" s="17" t="str">
        <f>IF(OR(TEXT(Q$13,"ddd")="Sun",Q$13="",$D180=""),"",IF('Leave Planner'!O181="",1,0))</f>
        <v/>
      </c>
      <c r="R180" s="17" t="str">
        <f>IF(OR(TEXT(R$13,"ddd")="Sun",R$13="",$D180=""),"",IF('Leave Planner'!P181="",1,0))</f>
        <v/>
      </c>
      <c r="S180" s="17" t="str">
        <f>IF(OR(TEXT(S$13,"ddd")="Sun",S$13="",$D180=""),"",IF('Leave Planner'!Q181="",1,0))</f>
        <v/>
      </c>
      <c r="T180" s="17" t="str">
        <f>IF(OR(TEXT(T$13,"ddd")="Sun",T$13="",$D180=""),"",IF('Leave Planner'!R181="",1,0))</f>
        <v/>
      </c>
      <c r="U180" s="17" t="str">
        <f>IF(OR(TEXT(U$13,"ddd")="Sun",U$13="",$D180=""),"",IF('Leave Planner'!S181="",1,0))</f>
        <v/>
      </c>
      <c r="V180" s="17" t="str">
        <f>IF(OR(TEXT(V$13,"ddd")="Sun",V$13="",$D180=""),"",IF('Leave Planner'!T181="",1,0))</f>
        <v/>
      </c>
      <c r="W180" s="17" t="str">
        <f>IF(OR(TEXT(W$13,"ddd")="Sun",W$13="",$D180=""),"",IF('Leave Planner'!U181="",1,0))</f>
        <v/>
      </c>
      <c r="X180" s="17" t="str">
        <f>IF(OR(TEXT(X$13,"ddd")="Sun",X$13="",$D180=""),"",IF('Leave Planner'!V181="",1,0))</f>
        <v/>
      </c>
      <c r="Y180" s="17" t="str">
        <f>IF(OR(TEXT(Y$13,"ddd")="Sun",Y$13="",$D180=""),"",IF('Leave Planner'!W181="",1,0))</f>
        <v/>
      </c>
      <c r="Z180" s="17" t="str">
        <f>IF(OR(TEXT(Z$13,"ddd")="Sun",Z$13="",$D180=""),"",IF('Leave Planner'!X181="",1,0))</f>
        <v/>
      </c>
      <c r="AA180" s="17" t="str">
        <f>IF(OR(TEXT(AA$13,"ddd")="Sun",AA$13="",$D180=""),"",IF('Leave Planner'!Y181="",1,0))</f>
        <v/>
      </c>
      <c r="AB180" s="17" t="str">
        <f>IF(OR(TEXT(AB$13,"ddd")="Sun",AB$13="",$D180=""),"",IF('Leave Planner'!Z181="",1,0))</f>
        <v/>
      </c>
      <c r="AC180" s="17" t="str">
        <f>IF(OR(TEXT(AC$13,"ddd")="Sun",AC$13="",$D180=""),"",IF('Leave Planner'!AA181="",1,0))</f>
        <v/>
      </c>
      <c r="AD180" s="17" t="str">
        <f>IF(OR(TEXT(AD$13,"ddd")="Sun",AD$13="",$D180=""),"",IF('Leave Planner'!AB181="",1,0))</f>
        <v/>
      </c>
      <c r="AE180" s="17" t="str">
        <f>IF(OR(TEXT(AE$13,"ddd")="Sun",AE$13="",$D180=""),"",IF('Leave Planner'!AC181="",1,0))</f>
        <v/>
      </c>
      <c r="AF180" s="17" t="str">
        <f>IF(OR(TEXT(AF$13,"ddd")="Sun",AF$13="",$D180=""),"",IF('Leave Planner'!AD181="",1,0))</f>
        <v/>
      </c>
      <c r="AG180" s="17" t="str">
        <f>IF(OR(TEXT(AG$13,"ddd")="Sun",AG$13="",$D180=""),"",IF('Leave Planner'!AE181="",1,0))</f>
        <v/>
      </c>
      <c r="AH180" s="17" t="str">
        <f>IF(OR(TEXT(AH$13,"ddd")="Sun",AH$13="",$D180=""),"",IF('Leave Planner'!AF181="",1,0))</f>
        <v/>
      </c>
      <c r="AI180" s="17" t="str">
        <f>IF(OR(TEXT(AI$13,"ddd")="Sun",AI$13="",$D180=""),"",IF('Leave Planner'!AG181="",1,0))</f>
        <v/>
      </c>
      <c r="AJ180" s="17" t="str">
        <f>IF(OR(TEXT(AJ$13,"ddd")="Sun",AJ$13="",$D180=""),"",IF('Leave Planner'!AH181="",1,0))</f>
        <v/>
      </c>
    </row>
    <row r="181" spans="2:36" x14ac:dyDescent="0.75">
      <c r="B181" s="15"/>
      <c r="C181" s="22"/>
      <c r="D181" s="22"/>
      <c r="E181" s="42" t="str">
        <f t="shared" si="7"/>
        <v/>
      </c>
      <c r="F181" s="17" t="str">
        <f>IF(OR(TEXT(F$13,"ddd")="Sun",F$13="",$D181=""),"",IF('Leave Planner'!D182="",1,0))</f>
        <v/>
      </c>
      <c r="G181" s="17" t="str">
        <f>IF(OR(TEXT(G$13,"ddd")="Sun",G$13="",$D181=""),"",IF('Leave Planner'!E182="",1,0))</f>
        <v/>
      </c>
      <c r="H181" s="17" t="str">
        <f>IF(OR(TEXT(H$13,"ddd")="Sun",H$13="",$D181=""),"",IF('Leave Planner'!F182="",1,0))</f>
        <v/>
      </c>
      <c r="I181" s="17" t="str">
        <f>IF(OR(TEXT(I$13,"ddd")="Sun",I$13="",$D181=""),"",IF('Leave Planner'!G182="",1,0))</f>
        <v/>
      </c>
      <c r="J181" s="17" t="str">
        <f>IF(OR(TEXT(J$13,"ddd")="Sun",J$13="",$D181=""),"",IF('Leave Planner'!H182="",1,0))</f>
        <v/>
      </c>
      <c r="K181" s="17" t="str">
        <f>IF(OR(TEXT(K$13,"ddd")="Sun",K$13="",$D181=""),"",IF('Leave Planner'!I182="",1,0))</f>
        <v/>
      </c>
      <c r="L181" s="17" t="str">
        <f>IF(OR(TEXT(L$13,"ddd")="Sun",L$13="",$D181=""),"",IF('Leave Planner'!J182="",1,0))</f>
        <v/>
      </c>
      <c r="M181" s="17" t="str">
        <f>IF(OR(TEXT(M$13,"ddd")="Sun",M$13="",$D181=""),"",IF('Leave Planner'!K182="",1,0))</f>
        <v/>
      </c>
      <c r="N181" s="17" t="str">
        <f>IF(OR(TEXT(N$13,"ddd")="Sun",N$13="",$D181=""),"",IF('Leave Planner'!L182="",1,0))</f>
        <v/>
      </c>
      <c r="O181" s="17" t="str">
        <f>IF(OR(TEXT(O$13,"ddd")="Sun",O$13="",$D181=""),"",IF('Leave Planner'!M182="",1,0))</f>
        <v/>
      </c>
      <c r="P181" s="17" t="str">
        <f>IF(OR(TEXT(P$13,"ddd")="Sun",P$13="",$D181=""),"",IF('Leave Planner'!N182="",1,0))</f>
        <v/>
      </c>
      <c r="Q181" s="17" t="str">
        <f>IF(OR(TEXT(Q$13,"ddd")="Sun",Q$13="",$D181=""),"",IF('Leave Planner'!O182="",1,0))</f>
        <v/>
      </c>
      <c r="R181" s="17" t="str">
        <f>IF(OR(TEXT(R$13,"ddd")="Sun",R$13="",$D181=""),"",IF('Leave Planner'!P182="",1,0))</f>
        <v/>
      </c>
      <c r="S181" s="17" t="str">
        <f>IF(OR(TEXT(S$13,"ddd")="Sun",S$13="",$D181=""),"",IF('Leave Planner'!Q182="",1,0))</f>
        <v/>
      </c>
      <c r="T181" s="17" t="str">
        <f>IF(OR(TEXT(T$13,"ddd")="Sun",T$13="",$D181=""),"",IF('Leave Planner'!R182="",1,0))</f>
        <v/>
      </c>
      <c r="U181" s="17" t="str">
        <f>IF(OR(TEXT(U$13,"ddd")="Sun",U$13="",$D181=""),"",IF('Leave Planner'!S182="",1,0))</f>
        <v/>
      </c>
      <c r="V181" s="17" t="str">
        <f>IF(OR(TEXT(V$13,"ddd")="Sun",V$13="",$D181=""),"",IF('Leave Planner'!T182="",1,0))</f>
        <v/>
      </c>
      <c r="W181" s="17" t="str">
        <f>IF(OR(TEXT(W$13,"ddd")="Sun",W$13="",$D181=""),"",IF('Leave Planner'!U182="",1,0))</f>
        <v/>
      </c>
      <c r="X181" s="17" t="str">
        <f>IF(OR(TEXT(X$13,"ddd")="Sun",X$13="",$D181=""),"",IF('Leave Planner'!V182="",1,0))</f>
        <v/>
      </c>
      <c r="Y181" s="17" t="str">
        <f>IF(OR(TEXT(Y$13,"ddd")="Sun",Y$13="",$D181=""),"",IF('Leave Planner'!W182="",1,0))</f>
        <v/>
      </c>
      <c r="Z181" s="17" t="str">
        <f>IF(OR(TEXT(Z$13,"ddd")="Sun",Z$13="",$D181=""),"",IF('Leave Planner'!X182="",1,0))</f>
        <v/>
      </c>
      <c r="AA181" s="17" t="str">
        <f>IF(OR(TEXT(AA$13,"ddd")="Sun",AA$13="",$D181=""),"",IF('Leave Planner'!Y182="",1,0))</f>
        <v/>
      </c>
      <c r="AB181" s="17" t="str">
        <f>IF(OR(TEXT(AB$13,"ddd")="Sun",AB$13="",$D181=""),"",IF('Leave Planner'!Z182="",1,0))</f>
        <v/>
      </c>
      <c r="AC181" s="17" t="str">
        <f>IF(OR(TEXT(AC$13,"ddd")="Sun",AC$13="",$D181=""),"",IF('Leave Planner'!AA182="",1,0))</f>
        <v/>
      </c>
      <c r="AD181" s="17" t="str">
        <f>IF(OR(TEXT(AD$13,"ddd")="Sun",AD$13="",$D181=""),"",IF('Leave Planner'!AB182="",1,0))</f>
        <v/>
      </c>
      <c r="AE181" s="17" t="str">
        <f>IF(OR(TEXT(AE$13,"ddd")="Sun",AE$13="",$D181=""),"",IF('Leave Planner'!AC182="",1,0))</f>
        <v/>
      </c>
      <c r="AF181" s="17" t="str">
        <f>IF(OR(TEXT(AF$13,"ddd")="Sun",AF$13="",$D181=""),"",IF('Leave Planner'!AD182="",1,0))</f>
        <v/>
      </c>
      <c r="AG181" s="17" t="str">
        <f>IF(OR(TEXT(AG$13,"ddd")="Sun",AG$13="",$D181=""),"",IF('Leave Planner'!AE182="",1,0))</f>
        <v/>
      </c>
      <c r="AH181" s="17" t="str">
        <f>IF(OR(TEXT(AH$13,"ddd")="Sun",AH$13="",$D181=""),"",IF('Leave Planner'!AF182="",1,0))</f>
        <v/>
      </c>
      <c r="AI181" s="17" t="str">
        <f>IF(OR(TEXT(AI$13,"ddd")="Sun",AI$13="",$D181=""),"",IF('Leave Planner'!AG182="",1,0))</f>
        <v/>
      </c>
      <c r="AJ181" s="17" t="str">
        <f>IF(OR(TEXT(AJ$13,"ddd")="Sun",AJ$13="",$D181=""),"",IF('Leave Planner'!AH182="",1,0))</f>
        <v/>
      </c>
    </row>
    <row r="182" spans="2:36" x14ac:dyDescent="0.75">
      <c r="B182" s="15"/>
      <c r="C182" s="22"/>
      <c r="D182" s="22"/>
      <c r="E182" s="42" t="str">
        <f t="shared" si="7"/>
        <v/>
      </c>
      <c r="F182" s="17" t="str">
        <f>IF(OR(TEXT(F$13,"ddd")="Sun",F$13="",$D182=""),"",IF('Leave Planner'!D183="",1,0))</f>
        <v/>
      </c>
      <c r="G182" s="17" t="str">
        <f>IF(OR(TEXT(G$13,"ddd")="Sun",G$13="",$D182=""),"",IF('Leave Planner'!E183="",1,0))</f>
        <v/>
      </c>
      <c r="H182" s="17" t="str">
        <f>IF(OR(TEXT(H$13,"ddd")="Sun",H$13="",$D182=""),"",IF('Leave Planner'!F183="",1,0))</f>
        <v/>
      </c>
      <c r="I182" s="17" t="str">
        <f>IF(OR(TEXT(I$13,"ddd")="Sun",I$13="",$D182=""),"",IF('Leave Planner'!G183="",1,0))</f>
        <v/>
      </c>
      <c r="J182" s="17" t="str">
        <f>IF(OR(TEXT(J$13,"ddd")="Sun",J$13="",$D182=""),"",IF('Leave Planner'!H183="",1,0))</f>
        <v/>
      </c>
      <c r="K182" s="17" t="str">
        <f>IF(OR(TEXT(K$13,"ddd")="Sun",K$13="",$D182=""),"",IF('Leave Planner'!I183="",1,0))</f>
        <v/>
      </c>
      <c r="L182" s="17" t="str">
        <f>IF(OR(TEXT(L$13,"ddd")="Sun",L$13="",$D182=""),"",IF('Leave Planner'!J183="",1,0))</f>
        <v/>
      </c>
      <c r="M182" s="17" t="str">
        <f>IF(OR(TEXT(M$13,"ddd")="Sun",M$13="",$D182=""),"",IF('Leave Planner'!K183="",1,0))</f>
        <v/>
      </c>
      <c r="N182" s="17" t="str">
        <f>IF(OR(TEXT(N$13,"ddd")="Sun",N$13="",$D182=""),"",IF('Leave Planner'!L183="",1,0))</f>
        <v/>
      </c>
      <c r="O182" s="17" t="str">
        <f>IF(OR(TEXT(O$13,"ddd")="Sun",O$13="",$D182=""),"",IF('Leave Planner'!M183="",1,0))</f>
        <v/>
      </c>
      <c r="P182" s="17" t="str">
        <f>IF(OR(TEXT(P$13,"ddd")="Sun",P$13="",$D182=""),"",IF('Leave Planner'!N183="",1,0))</f>
        <v/>
      </c>
      <c r="Q182" s="17" t="str">
        <f>IF(OR(TEXT(Q$13,"ddd")="Sun",Q$13="",$D182=""),"",IF('Leave Planner'!O183="",1,0))</f>
        <v/>
      </c>
      <c r="R182" s="17" t="str">
        <f>IF(OR(TEXT(R$13,"ddd")="Sun",R$13="",$D182=""),"",IF('Leave Planner'!P183="",1,0))</f>
        <v/>
      </c>
      <c r="S182" s="17" t="str">
        <f>IF(OR(TEXT(S$13,"ddd")="Sun",S$13="",$D182=""),"",IF('Leave Planner'!Q183="",1,0))</f>
        <v/>
      </c>
      <c r="T182" s="17" t="str">
        <f>IF(OR(TEXT(T$13,"ddd")="Sun",T$13="",$D182=""),"",IF('Leave Planner'!R183="",1,0))</f>
        <v/>
      </c>
      <c r="U182" s="17" t="str">
        <f>IF(OR(TEXT(U$13,"ddd")="Sun",U$13="",$D182=""),"",IF('Leave Planner'!S183="",1,0))</f>
        <v/>
      </c>
      <c r="V182" s="17" t="str">
        <f>IF(OR(TEXT(V$13,"ddd")="Sun",V$13="",$D182=""),"",IF('Leave Planner'!T183="",1,0))</f>
        <v/>
      </c>
      <c r="W182" s="17" t="str">
        <f>IF(OR(TEXT(W$13,"ddd")="Sun",W$13="",$D182=""),"",IF('Leave Planner'!U183="",1,0))</f>
        <v/>
      </c>
      <c r="X182" s="17" t="str">
        <f>IF(OR(TEXT(X$13,"ddd")="Sun",X$13="",$D182=""),"",IF('Leave Planner'!V183="",1,0))</f>
        <v/>
      </c>
      <c r="Y182" s="17" t="str">
        <f>IF(OR(TEXT(Y$13,"ddd")="Sun",Y$13="",$D182=""),"",IF('Leave Planner'!W183="",1,0))</f>
        <v/>
      </c>
      <c r="Z182" s="17" t="str">
        <f>IF(OR(TEXT(Z$13,"ddd")="Sun",Z$13="",$D182=""),"",IF('Leave Planner'!X183="",1,0))</f>
        <v/>
      </c>
      <c r="AA182" s="17" t="str">
        <f>IF(OR(TEXT(AA$13,"ddd")="Sun",AA$13="",$D182=""),"",IF('Leave Planner'!Y183="",1,0))</f>
        <v/>
      </c>
      <c r="AB182" s="17" t="str">
        <f>IF(OR(TEXT(AB$13,"ddd")="Sun",AB$13="",$D182=""),"",IF('Leave Planner'!Z183="",1,0))</f>
        <v/>
      </c>
      <c r="AC182" s="17" t="str">
        <f>IF(OR(TEXT(AC$13,"ddd")="Sun",AC$13="",$D182=""),"",IF('Leave Planner'!AA183="",1,0))</f>
        <v/>
      </c>
      <c r="AD182" s="17" t="str">
        <f>IF(OR(TEXT(AD$13,"ddd")="Sun",AD$13="",$D182=""),"",IF('Leave Planner'!AB183="",1,0))</f>
        <v/>
      </c>
      <c r="AE182" s="17" t="str">
        <f>IF(OR(TEXT(AE$13,"ddd")="Sun",AE$13="",$D182=""),"",IF('Leave Planner'!AC183="",1,0))</f>
        <v/>
      </c>
      <c r="AF182" s="17" t="str">
        <f>IF(OR(TEXT(AF$13,"ddd")="Sun",AF$13="",$D182=""),"",IF('Leave Planner'!AD183="",1,0))</f>
        <v/>
      </c>
      <c r="AG182" s="17" t="str">
        <f>IF(OR(TEXT(AG$13,"ddd")="Sun",AG$13="",$D182=""),"",IF('Leave Planner'!AE183="",1,0))</f>
        <v/>
      </c>
      <c r="AH182" s="17" t="str">
        <f>IF(OR(TEXT(AH$13,"ddd")="Sun",AH$13="",$D182=""),"",IF('Leave Planner'!AF183="",1,0))</f>
        <v/>
      </c>
      <c r="AI182" s="17" t="str">
        <f>IF(OR(TEXT(AI$13,"ddd")="Sun",AI$13="",$D182=""),"",IF('Leave Planner'!AG183="",1,0))</f>
        <v/>
      </c>
      <c r="AJ182" s="17" t="str">
        <f>IF(OR(TEXT(AJ$13,"ddd")="Sun",AJ$13="",$D182=""),"",IF('Leave Planner'!AH183="",1,0))</f>
        <v/>
      </c>
    </row>
    <row r="183" spans="2:36" x14ac:dyDescent="0.75">
      <c r="B183" s="15"/>
      <c r="C183" s="22"/>
      <c r="D183" s="22"/>
      <c r="E183" s="42" t="str">
        <f t="shared" si="7"/>
        <v/>
      </c>
      <c r="F183" s="17" t="str">
        <f>IF(OR(TEXT(F$13,"ddd")="Sun",F$13="",$D183=""),"",IF('Leave Planner'!D184="",1,0))</f>
        <v/>
      </c>
      <c r="G183" s="17" t="str">
        <f>IF(OR(TEXT(G$13,"ddd")="Sun",G$13="",$D183=""),"",IF('Leave Planner'!E184="",1,0))</f>
        <v/>
      </c>
      <c r="H183" s="17" t="str">
        <f>IF(OR(TEXT(H$13,"ddd")="Sun",H$13="",$D183=""),"",IF('Leave Planner'!F184="",1,0))</f>
        <v/>
      </c>
      <c r="I183" s="17" t="str">
        <f>IF(OR(TEXT(I$13,"ddd")="Sun",I$13="",$D183=""),"",IF('Leave Planner'!G184="",1,0))</f>
        <v/>
      </c>
      <c r="J183" s="17" t="str">
        <f>IF(OR(TEXT(J$13,"ddd")="Sun",J$13="",$D183=""),"",IF('Leave Planner'!H184="",1,0))</f>
        <v/>
      </c>
      <c r="K183" s="17" t="str">
        <f>IF(OR(TEXT(K$13,"ddd")="Sun",K$13="",$D183=""),"",IF('Leave Planner'!I184="",1,0))</f>
        <v/>
      </c>
      <c r="L183" s="17" t="str">
        <f>IF(OR(TEXT(L$13,"ddd")="Sun",L$13="",$D183=""),"",IF('Leave Planner'!J184="",1,0))</f>
        <v/>
      </c>
      <c r="M183" s="17" t="str">
        <f>IF(OR(TEXT(M$13,"ddd")="Sun",M$13="",$D183=""),"",IF('Leave Planner'!K184="",1,0))</f>
        <v/>
      </c>
      <c r="N183" s="17" t="str">
        <f>IF(OR(TEXT(N$13,"ddd")="Sun",N$13="",$D183=""),"",IF('Leave Planner'!L184="",1,0))</f>
        <v/>
      </c>
      <c r="O183" s="17" t="str">
        <f>IF(OR(TEXT(O$13,"ddd")="Sun",O$13="",$D183=""),"",IF('Leave Planner'!M184="",1,0))</f>
        <v/>
      </c>
      <c r="P183" s="17" t="str">
        <f>IF(OR(TEXT(P$13,"ddd")="Sun",P$13="",$D183=""),"",IF('Leave Planner'!N184="",1,0))</f>
        <v/>
      </c>
      <c r="Q183" s="17" t="str">
        <f>IF(OR(TEXT(Q$13,"ddd")="Sun",Q$13="",$D183=""),"",IF('Leave Planner'!O184="",1,0))</f>
        <v/>
      </c>
      <c r="R183" s="17" t="str">
        <f>IF(OR(TEXT(R$13,"ddd")="Sun",R$13="",$D183=""),"",IF('Leave Planner'!P184="",1,0))</f>
        <v/>
      </c>
      <c r="S183" s="17" t="str">
        <f>IF(OR(TEXT(S$13,"ddd")="Sun",S$13="",$D183=""),"",IF('Leave Planner'!Q184="",1,0))</f>
        <v/>
      </c>
      <c r="T183" s="17" t="str">
        <f>IF(OR(TEXT(T$13,"ddd")="Sun",T$13="",$D183=""),"",IF('Leave Planner'!R184="",1,0))</f>
        <v/>
      </c>
      <c r="U183" s="17" t="str">
        <f>IF(OR(TEXT(U$13,"ddd")="Sun",U$13="",$D183=""),"",IF('Leave Planner'!S184="",1,0))</f>
        <v/>
      </c>
      <c r="V183" s="17" t="str">
        <f>IF(OR(TEXT(V$13,"ddd")="Sun",V$13="",$D183=""),"",IF('Leave Planner'!T184="",1,0))</f>
        <v/>
      </c>
      <c r="W183" s="17" t="str">
        <f>IF(OR(TEXT(W$13,"ddd")="Sun",W$13="",$D183=""),"",IF('Leave Planner'!U184="",1,0))</f>
        <v/>
      </c>
      <c r="X183" s="17" t="str">
        <f>IF(OR(TEXT(X$13,"ddd")="Sun",X$13="",$D183=""),"",IF('Leave Planner'!V184="",1,0))</f>
        <v/>
      </c>
      <c r="Y183" s="17" t="str">
        <f>IF(OR(TEXT(Y$13,"ddd")="Sun",Y$13="",$D183=""),"",IF('Leave Planner'!W184="",1,0))</f>
        <v/>
      </c>
      <c r="Z183" s="17" t="str">
        <f>IF(OR(TEXT(Z$13,"ddd")="Sun",Z$13="",$D183=""),"",IF('Leave Planner'!X184="",1,0))</f>
        <v/>
      </c>
      <c r="AA183" s="17" t="str">
        <f>IF(OR(TEXT(AA$13,"ddd")="Sun",AA$13="",$D183=""),"",IF('Leave Planner'!Y184="",1,0))</f>
        <v/>
      </c>
      <c r="AB183" s="17" t="str">
        <f>IF(OR(TEXT(AB$13,"ddd")="Sun",AB$13="",$D183=""),"",IF('Leave Planner'!Z184="",1,0))</f>
        <v/>
      </c>
      <c r="AC183" s="17" t="str">
        <f>IF(OR(TEXT(AC$13,"ddd")="Sun",AC$13="",$D183=""),"",IF('Leave Planner'!AA184="",1,0))</f>
        <v/>
      </c>
      <c r="AD183" s="17" t="str">
        <f>IF(OR(TEXT(AD$13,"ddd")="Sun",AD$13="",$D183=""),"",IF('Leave Planner'!AB184="",1,0))</f>
        <v/>
      </c>
      <c r="AE183" s="17" t="str">
        <f>IF(OR(TEXT(AE$13,"ddd")="Sun",AE$13="",$D183=""),"",IF('Leave Planner'!AC184="",1,0))</f>
        <v/>
      </c>
      <c r="AF183" s="17" t="str">
        <f>IF(OR(TEXT(AF$13,"ddd")="Sun",AF$13="",$D183=""),"",IF('Leave Planner'!AD184="",1,0))</f>
        <v/>
      </c>
      <c r="AG183" s="17" t="str">
        <f>IF(OR(TEXT(AG$13,"ddd")="Sun",AG$13="",$D183=""),"",IF('Leave Planner'!AE184="",1,0))</f>
        <v/>
      </c>
      <c r="AH183" s="17" t="str">
        <f>IF(OR(TEXT(AH$13,"ddd")="Sun",AH$13="",$D183=""),"",IF('Leave Planner'!AF184="",1,0))</f>
        <v/>
      </c>
      <c r="AI183" s="17" t="str">
        <f>IF(OR(TEXT(AI$13,"ddd")="Sun",AI$13="",$D183=""),"",IF('Leave Planner'!AG184="",1,0))</f>
        <v/>
      </c>
      <c r="AJ183" s="17" t="str">
        <f>IF(OR(TEXT(AJ$13,"ddd")="Sun",AJ$13="",$D183=""),"",IF('Leave Planner'!AH184="",1,0))</f>
        <v/>
      </c>
    </row>
    <row r="184" spans="2:36" x14ac:dyDescent="0.75">
      <c r="B184" s="15"/>
      <c r="C184" s="22"/>
      <c r="D184" s="22"/>
      <c r="E184" s="42" t="str">
        <f t="shared" si="7"/>
        <v/>
      </c>
      <c r="F184" s="17" t="str">
        <f>IF(OR(TEXT(F$13,"ddd")="Sun",F$13="",$D184=""),"",IF('Leave Planner'!D185="",1,0))</f>
        <v/>
      </c>
      <c r="G184" s="17" t="str">
        <f>IF(OR(TEXT(G$13,"ddd")="Sun",G$13="",$D184=""),"",IF('Leave Planner'!E185="",1,0))</f>
        <v/>
      </c>
      <c r="H184" s="17" t="str">
        <f>IF(OR(TEXT(H$13,"ddd")="Sun",H$13="",$D184=""),"",IF('Leave Planner'!F185="",1,0))</f>
        <v/>
      </c>
      <c r="I184" s="17" t="str">
        <f>IF(OR(TEXT(I$13,"ddd")="Sun",I$13="",$D184=""),"",IF('Leave Planner'!G185="",1,0))</f>
        <v/>
      </c>
      <c r="J184" s="17" t="str">
        <f>IF(OR(TEXT(J$13,"ddd")="Sun",J$13="",$D184=""),"",IF('Leave Planner'!H185="",1,0))</f>
        <v/>
      </c>
      <c r="K184" s="17" t="str">
        <f>IF(OR(TEXT(K$13,"ddd")="Sun",K$13="",$D184=""),"",IF('Leave Planner'!I185="",1,0))</f>
        <v/>
      </c>
      <c r="L184" s="17" t="str">
        <f>IF(OR(TEXT(L$13,"ddd")="Sun",L$13="",$D184=""),"",IF('Leave Planner'!J185="",1,0))</f>
        <v/>
      </c>
      <c r="M184" s="17" t="str">
        <f>IF(OR(TEXT(M$13,"ddd")="Sun",M$13="",$D184=""),"",IF('Leave Planner'!K185="",1,0))</f>
        <v/>
      </c>
      <c r="N184" s="17" t="str">
        <f>IF(OR(TEXT(N$13,"ddd")="Sun",N$13="",$D184=""),"",IF('Leave Planner'!L185="",1,0))</f>
        <v/>
      </c>
      <c r="O184" s="17" t="str">
        <f>IF(OR(TEXT(O$13,"ddd")="Sun",O$13="",$D184=""),"",IF('Leave Planner'!M185="",1,0))</f>
        <v/>
      </c>
      <c r="P184" s="17" t="str">
        <f>IF(OR(TEXT(P$13,"ddd")="Sun",P$13="",$D184=""),"",IF('Leave Planner'!N185="",1,0))</f>
        <v/>
      </c>
      <c r="Q184" s="17" t="str">
        <f>IF(OR(TEXT(Q$13,"ddd")="Sun",Q$13="",$D184=""),"",IF('Leave Planner'!O185="",1,0))</f>
        <v/>
      </c>
      <c r="R184" s="17" t="str">
        <f>IF(OR(TEXT(R$13,"ddd")="Sun",R$13="",$D184=""),"",IF('Leave Planner'!P185="",1,0))</f>
        <v/>
      </c>
      <c r="S184" s="17" t="str">
        <f>IF(OR(TEXT(S$13,"ddd")="Sun",S$13="",$D184=""),"",IF('Leave Planner'!Q185="",1,0))</f>
        <v/>
      </c>
      <c r="T184" s="17" t="str">
        <f>IF(OR(TEXT(T$13,"ddd")="Sun",T$13="",$D184=""),"",IF('Leave Planner'!R185="",1,0))</f>
        <v/>
      </c>
      <c r="U184" s="17" t="str">
        <f>IF(OR(TEXT(U$13,"ddd")="Sun",U$13="",$D184=""),"",IF('Leave Planner'!S185="",1,0))</f>
        <v/>
      </c>
      <c r="V184" s="17" t="str">
        <f>IF(OR(TEXT(V$13,"ddd")="Sun",V$13="",$D184=""),"",IF('Leave Planner'!T185="",1,0))</f>
        <v/>
      </c>
      <c r="W184" s="17" t="str">
        <f>IF(OR(TEXT(W$13,"ddd")="Sun",W$13="",$D184=""),"",IF('Leave Planner'!U185="",1,0))</f>
        <v/>
      </c>
      <c r="X184" s="17" t="str">
        <f>IF(OR(TEXT(X$13,"ddd")="Sun",X$13="",$D184=""),"",IF('Leave Planner'!V185="",1,0))</f>
        <v/>
      </c>
      <c r="Y184" s="17" t="str">
        <f>IF(OR(TEXT(Y$13,"ddd")="Sun",Y$13="",$D184=""),"",IF('Leave Planner'!W185="",1,0))</f>
        <v/>
      </c>
      <c r="Z184" s="17" t="str">
        <f>IF(OR(TEXT(Z$13,"ddd")="Sun",Z$13="",$D184=""),"",IF('Leave Planner'!X185="",1,0))</f>
        <v/>
      </c>
      <c r="AA184" s="17" t="str">
        <f>IF(OR(TEXT(AA$13,"ddd")="Sun",AA$13="",$D184=""),"",IF('Leave Planner'!Y185="",1,0))</f>
        <v/>
      </c>
      <c r="AB184" s="17" t="str">
        <f>IF(OR(TEXT(AB$13,"ddd")="Sun",AB$13="",$D184=""),"",IF('Leave Planner'!Z185="",1,0))</f>
        <v/>
      </c>
      <c r="AC184" s="17" t="str">
        <f>IF(OR(TEXT(AC$13,"ddd")="Sun",AC$13="",$D184=""),"",IF('Leave Planner'!AA185="",1,0))</f>
        <v/>
      </c>
      <c r="AD184" s="17" t="str">
        <f>IF(OR(TEXT(AD$13,"ddd")="Sun",AD$13="",$D184=""),"",IF('Leave Planner'!AB185="",1,0))</f>
        <v/>
      </c>
      <c r="AE184" s="17" t="str">
        <f>IF(OR(TEXT(AE$13,"ddd")="Sun",AE$13="",$D184=""),"",IF('Leave Planner'!AC185="",1,0))</f>
        <v/>
      </c>
      <c r="AF184" s="17" t="str">
        <f>IF(OR(TEXT(AF$13,"ddd")="Sun",AF$13="",$D184=""),"",IF('Leave Planner'!AD185="",1,0))</f>
        <v/>
      </c>
      <c r="AG184" s="17" t="str">
        <f>IF(OR(TEXT(AG$13,"ddd")="Sun",AG$13="",$D184=""),"",IF('Leave Planner'!AE185="",1,0))</f>
        <v/>
      </c>
      <c r="AH184" s="17" t="str">
        <f>IF(OR(TEXT(AH$13,"ddd")="Sun",AH$13="",$D184=""),"",IF('Leave Planner'!AF185="",1,0))</f>
        <v/>
      </c>
      <c r="AI184" s="17" t="str">
        <f>IF(OR(TEXT(AI$13,"ddd")="Sun",AI$13="",$D184=""),"",IF('Leave Planner'!AG185="",1,0))</f>
        <v/>
      </c>
      <c r="AJ184" s="17" t="str">
        <f>IF(OR(TEXT(AJ$13,"ddd")="Sun",AJ$13="",$D184=""),"",IF('Leave Planner'!AH185="",1,0))</f>
        <v/>
      </c>
    </row>
    <row r="185" spans="2:36" x14ac:dyDescent="0.75">
      <c r="B185" s="15"/>
      <c r="C185" s="22"/>
      <c r="D185" s="22"/>
      <c r="E185" s="42" t="str">
        <f t="shared" si="7"/>
        <v/>
      </c>
      <c r="F185" s="17" t="str">
        <f>IF(OR(TEXT(F$13,"ddd")="Sun",F$13="",$D185=""),"",IF('Leave Planner'!D186="",1,0))</f>
        <v/>
      </c>
      <c r="G185" s="17" t="str">
        <f>IF(OR(TEXT(G$13,"ddd")="Sun",G$13="",$D185=""),"",IF('Leave Planner'!E186="",1,0))</f>
        <v/>
      </c>
      <c r="H185" s="17" t="str">
        <f>IF(OR(TEXT(H$13,"ddd")="Sun",H$13="",$D185=""),"",IF('Leave Planner'!F186="",1,0))</f>
        <v/>
      </c>
      <c r="I185" s="17" t="str">
        <f>IF(OR(TEXT(I$13,"ddd")="Sun",I$13="",$D185=""),"",IF('Leave Planner'!G186="",1,0))</f>
        <v/>
      </c>
      <c r="J185" s="17" t="str">
        <f>IF(OR(TEXT(J$13,"ddd")="Sun",J$13="",$D185=""),"",IF('Leave Planner'!H186="",1,0))</f>
        <v/>
      </c>
      <c r="K185" s="17" t="str">
        <f>IF(OR(TEXT(K$13,"ddd")="Sun",K$13="",$D185=""),"",IF('Leave Planner'!I186="",1,0))</f>
        <v/>
      </c>
      <c r="L185" s="17" t="str">
        <f>IF(OR(TEXT(L$13,"ddd")="Sun",L$13="",$D185=""),"",IF('Leave Planner'!J186="",1,0))</f>
        <v/>
      </c>
      <c r="M185" s="17" t="str">
        <f>IF(OR(TEXT(M$13,"ddd")="Sun",M$13="",$D185=""),"",IF('Leave Planner'!K186="",1,0))</f>
        <v/>
      </c>
      <c r="N185" s="17" t="str">
        <f>IF(OR(TEXT(N$13,"ddd")="Sun",N$13="",$D185=""),"",IF('Leave Planner'!L186="",1,0))</f>
        <v/>
      </c>
      <c r="O185" s="17" t="str">
        <f>IF(OR(TEXT(O$13,"ddd")="Sun",O$13="",$D185=""),"",IF('Leave Planner'!M186="",1,0))</f>
        <v/>
      </c>
      <c r="P185" s="17" t="str">
        <f>IF(OR(TEXT(P$13,"ddd")="Sun",P$13="",$D185=""),"",IF('Leave Planner'!N186="",1,0))</f>
        <v/>
      </c>
      <c r="Q185" s="17" t="str">
        <f>IF(OR(TEXT(Q$13,"ddd")="Sun",Q$13="",$D185=""),"",IF('Leave Planner'!O186="",1,0))</f>
        <v/>
      </c>
      <c r="R185" s="17" t="str">
        <f>IF(OR(TEXT(R$13,"ddd")="Sun",R$13="",$D185=""),"",IF('Leave Planner'!P186="",1,0))</f>
        <v/>
      </c>
      <c r="S185" s="17" t="str">
        <f>IF(OR(TEXT(S$13,"ddd")="Sun",S$13="",$D185=""),"",IF('Leave Planner'!Q186="",1,0))</f>
        <v/>
      </c>
      <c r="T185" s="17" t="str">
        <f>IF(OR(TEXT(T$13,"ddd")="Sun",T$13="",$D185=""),"",IF('Leave Planner'!R186="",1,0))</f>
        <v/>
      </c>
      <c r="U185" s="17" t="str">
        <f>IF(OR(TEXT(U$13,"ddd")="Sun",U$13="",$D185=""),"",IF('Leave Planner'!S186="",1,0))</f>
        <v/>
      </c>
      <c r="V185" s="17" t="str">
        <f>IF(OR(TEXT(V$13,"ddd")="Sun",V$13="",$D185=""),"",IF('Leave Planner'!T186="",1,0))</f>
        <v/>
      </c>
      <c r="W185" s="17" t="str">
        <f>IF(OR(TEXT(W$13,"ddd")="Sun",W$13="",$D185=""),"",IF('Leave Planner'!U186="",1,0))</f>
        <v/>
      </c>
      <c r="X185" s="17" t="str">
        <f>IF(OR(TEXT(X$13,"ddd")="Sun",X$13="",$D185=""),"",IF('Leave Planner'!V186="",1,0))</f>
        <v/>
      </c>
      <c r="Y185" s="17" t="str">
        <f>IF(OR(TEXT(Y$13,"ddd")="Sun",Y$13="",$D185=""),"",IF('Leave Planner'!W186="",1,0))</f>
        <v/>
      </c>
      <c r="Z185" s="17" t="str">
        <f>IF(OR(TEXT(Z$13,"ddd")="Sun",Z$13="",$D185=""),"",IF('Leave Planner'!X186="",1,0))</f>
        <v/>
      </c>
      <c r="AA185" s="17" t="str">
        <f>IF(OR(TEXT(AA$13,"ddd")="Sun",AA$13="",$D185=""),"",IF('Leave Planner'!Y186="",1,0))</f>
        <v/>
      </c>
      <c r="AB185" s="17" t="str">
        <f>IF(OR(TEXT(AB$13,"ddd")="Sun",AB$13="",$D185=""),"",IF('Leave Planner'!Z186="",1,0))</f>
        <v/>
      </c>
      <c r="AC185" s="17" t="str">
        <f>IF(OR(TEXT(AC$13,"ddd")="Sun",AC$13="",$D185=""),"",IF('Leave Planner'!AA186="",1,0))</f>
        <v/>
      </c>
      <c r="AD185" s="17" t="str">
        <f>IF(OR(TEXT(AD$13,"ddd")="Sun",AD$13="",$D185=""),"",IF('Leave Planner'!AB186="",1,0))</f>
        <v/>
      </c>
      <c r="AE185" s="17" t="str">
        <f>IF(OR(TEXT(AE$13,"ddd")="Sun",AE$13="",$D185=""),"",IF('Leave Planner'!AC186="",1,0))</f>
        <v/>
      </c>
      <c r="AF185" s="17" t="str">
        <f>IF(OR(TEXT(AF$13,"ddd")="Sun",AF$13="",$D185=""),"",IF('Leave Planner'!AD186="",1,0))</f>
        <v/>
      </c>
      <c r="AG185" s="17" t="str">
        <f>IF(OR(TEXT(AG$13,"ddd")="Sun",AG$13="",$D185=""),"",IF('Leave Planner'!AE186="",1,0))</f>
        <v/>
      </c>
      <c r="AH185" s="17" t="str">
        <f>IF(OR(TEXT(AH$13,"ddd")="Sun",AH$13="",$D185=""),"",IF('Leave Planner'!AF186="",1,0))</f>
        <v/>
      </c>
      <c r="AI185" s="17" t="str">
        <f>IF(OR(TEXT(AI$13,"ddd")="Sun",AI$13="",$D185=""),"",IF('Leave Planner'!AG186="",1,0))</f>
        <v/>
      </c>
      <c r="AJ185" s="17" t="str">
        <f>IF(OR(TEXT(AJ$13,"ddd")="Sun",AJ$13="",$D185=""),"",IF('Leave Planner'!AH186="",1,0))</f>
        <v/>
      </c>
    </row>
    <row r="186" spans="2:36" x14ac:dyDescent="0.75">
      <c r="B186" s="15"/>
      <c r="C186" s="22"/>
      <c r="D186" s="22"/>
      <c r="E186" s="42" t="str">
        <f t="shared" si="7"/>
        <v/>
      </c>
      <c r="F186" s="17" t="str">
        <f>IF(OR(TEXT(F$13,"ddd")="Sun",F$13="",$D186=""),"",IF('Leave Planner'!D187="",1,0))</f>
        <v/>
      </c>
      <c r="G186" s="17" t="str">
        <f>IF(OR(TEXT(G$13,"ddd")="Sun",G$13="",$D186=""),"",IF('Leave Planner'!E187="",1,0))</f>
        <v/>
      </c>
      <c r="H186" s="17" t="str">
        <f>IF(OR(TEXT(H$13,"ddd")="Sun",H$13="",$D186=""),"",IF('Leave Planner'!F187="",1,0))</f>
        <v/>
      </c>
      <c r="I186" s="17" t="str">
        <f>IF(OR(TEXT(I$13,"ddd")="Sun",I$13="",$D186=""),"",IF('Leave Planner'!G187="",1,0))</f>
        <v/>
      </c>
      <c r="J186" s="17" t="str">
        <f>IF(OR(TEXT(J$13,"ddd")="Sun",J$13="",$D186=""),"",IF('Leave Planner'!H187="",1,0))</f>
        <v/>
      </c>
      <c r="K186" s="17" t="str">
        <f>IF(OR(TEXT(K$13,"ddd")="Sun",K$13="",$D186=""),"",IF('Leave Planner'!I187="",1,0))</f>
        <v/>
      </c>
      <c r="L186" s="17" t="str">
        <f>IF(OR(TEXT(L$13,"ddd")="Sun",L$13="",$D186=""),"",IF('Leave Planner'!J187="",1,0))</f>
        <v/>
      </c>
      <c r="M186" s="17" t="str">
        <f>IF(OR(TEXT(M$13,"ddd")="Sun",M$13="",$D186=""),"",IF('Leave Planner'!K187="",1,0))</f>
        <v/>
      </c>
      <c r="N186" s="17" t="str">
        <f>IF(OR(TEXT(N$13,"ddd")="Sun",N$13="",$D186=""),"",IF('Leave Planner'!L187="",1,0))</f>
        <v/>
      </c>
      <c r="O186" s="17" t="str">
        <f>IF(OR(TEXT(O$13,"ddd")="Sun",O$13="",$D186=""),"",IF('Leave Planner'!M187="",1,0))</f>
        <v/>
      </c>
      <c r="P186" s="17" t="str">
        <f>IF(OR(TEXT(P$13,"ddd")="Sun",P$13="",$D186=""),"",IF('Leave Planner'!N187="",1,0))</f>
        <v/>
      </c>
      <c r="Q186" s="17" t="str">
        <f>IF(OR(TEXT(Q$13,"ddd")="Sun",Q$13="",$D186=""),"",IF('Leave Planner'!O187="",1,0))</f>
        <v/>
      </c>
      <c r="R186" s="17" t="str">
        <f>IF(OR(TEXT(R$13,"ddd")="Sun",R$13="",$D186=""),"",IF('Leave Planner'!P187="",1,0))</f>
        <v/>
      </c>
      <c r="S186" s="17" t="str">
        <f>IF(OR(TEXT(S$13,"ddd")="Sun",S$13="",$D186=""),"",IF('Leave Planner'!Q187="",1,0))</f>
        <v/>
      </c>
      <c r="T186" s="17" t="str">
        <f>IF(OR(TEXT(T$13,"ddd")="Sun",T$13="",$D186=""),"",IF('Leave Planner'!R187="",1,0))</f>
        <v/>
      </c>
      <c r="U186" s="17" t="str">
        <f>IF(OR(TEXT(U$13,"ddd")="Sun",U$13="",$D186=""),"",IF('Leave Planner'!S187="",1,0))</f>
        <v/>
      </c>
      <c r="V186" s="17" t="str">
        <f>IF(OR(TEXT(V$13,"ddd")="Sun",V$13="",$D186=""),"",IF('Leave Planner'!T187="",1,0))</f>
        <v/>
      </c>
      <c r="W186" s="17" t="str">
        <f>IF(OR(TEXT(W$13,"ddd")="Sun",W$13="",$D186=""),"",IF('Leave Planner'!U187="",1,0))</f>
        <v/>
      </c>
      <c r="X186" s="17" t="str">
        <f>IF(OR(TEXT(X$13,"ddd")="Sun",X$13="",$D186=""),"",IF('Leave Planner'!V187="",1,0))</f>
        <v/>
      </c>
      <c r="Y186" s="17" t="str">
        <f>IF(OR(TEXT(Y$13,"ddd")="Sun",Y$13="",$D186=""),"",IF('Leave Planner'!W187="",1,0))</f>
        <v/>
      </c>
      <c r="Z186" s="17" t="str">
        <f>IF(OR(TEXT(Z$13,"ddd")="Sun",Z$13="",$D186=""),"",IF('Leave Planner'!X187="",1,0))</f>
        <v/>
      </c>
      <c r="AA186" s="17" t="str">
        <f>IF(OR(TEXT(AA$13,"ddd")="Sun",AA$13="",$D186=""),"",IF('Leave Planner'!Y187="",1,0))</f>
        <v/>
      </c>
      <c r="AB186" s="17" t="str">
        <f>IF(OR(TEXT(AB$13,"ddd")="Sun",AB$13="",$D186=""),"",IF('Leave Planner'!Z187="",1,0))</f>
        <v/>
      </c>
      <c r="AC186" s="17" t="str">
        <f>IF(OR(TEXT(AC$13,"ddd")="Sun",AC$13="",$D186=""),"",IF('Leave Planner'!AA187="",1,0))</f>
        <v/>
      </c>
      <c r="AD186" s="17" t="str">
        <f>IF(OR(TEXT(AD$13,"ddd")="Sun",AD$13="",$D186=""),"",IF('Leave Planner'!AB187="",1,0))</f>
        <v/>
      </c>
      <c r="AE186" s="17" t="str">
        <f>IF(OR(TEXT(AE$13,"ddd")="Sun",AE$13="",$D186=""),"",IF('Leave Planner'!AC187="",1,0))</f>
        <v/>
      </c>
      <c r="AF186" s="17" t="str">
        <f>IF(OR(TEXT(AF$13,"ddd")="Sun",AF$13="",$D186=""),"",IF('Leave Planner'!AD187="",1,0))</f>
        <v/>
      </c>
      <c r="AG186" s="17" t="str">
        <f>IF(OR(TEXT(AG$13,"ddd")="Sun",AG$13="",$D186=""),"",IF('Leave Planner'!AE187="",1,0))</f>
        <v/>
      </c>
      <c r="AH186" s="17" t="str">
        <f>IF(OR(TEXT(AH$13,"ddd")="Sun",AH$13="",$D186=""),"",IF('Leave Planner'!AF187="",1,0))</f>
        <v/>
      </c>
      <c r="AI186" s="17" t="str">
        <f>IF(OR(TEXT(AI$13,"ddd")="Sun",AI$13="",$D186=""),"",IF('Leave Planner'!AG187="",1,0))</f>
        <v/>
      </c>
      <c r="AJ186" s="17" t="str">
        <f>IF(OR(TEXT(AJ$13,"ddd")="Sun",AJ$13="",$D186=""),"",IF('Leave Planner'!AH187="",1,0))</f>
        <v/>
      </c>
    </row>
    <row r="187" spans="2:36" x14ac:dyDescent="0.75">
      <c r="B187" s="15"/>
      <c r="C187" s="22"/>
      <c r="D187" s="22"/>
      <c r="E187" s="42" t="str">
        <f t="shared" si="7"/>
        <v/>
      </c>
      <c r="F187" s="17" t="str">
        <f>IF(OR(TEXT(F$13,"ddd")="Sun",F$13="",$D187=""),"",IF('Leave Planner'!D188="",1,0))</f>
        <v/>
      </c>
      <c r="G187" s="17" t="str">
        <f>IF(OR(TEXT(G$13,"ddd")="Sun",G$13="",$D187=""),"",IF('Leave Planner'!E188="",1,0))</f>
        <v/>
      </c>
      <c r="H187" s="17" t="str">
        <f>IF(OR(TEXT(H$13,"ddd")="Sun",H$13="",$D187=""),"",IF('Leave Planner'!F188="",1,0))</f>
        <v/>
      </c>
      <c r="I187" s="17" t="str">
        <f>IF(OR(TEXT(I$13,"ddd")="Sun",I$13="",$D187=""),"",IF('Leave Planner'!G188="",1,0))</f>
        <v/>
      </c>
      <c r="J187" s="17" t="str">
        <f>IF(OR(TEXT(J$13,"ddd")="Sun",J$13="",$D187=""),"",IF('Leave Planner'!H188="",1,0))</f>
        <v/>
      </c>
      <c r="K187" s="17" t="str">
        <f>IF(OR(TEXT(K$13,"ddd")="Sun",K$13="",$D187=""),"",IF('Leave Planner'!I188="",1,0))</f>
        <v/>
      </c>
      <c r="L187" s="17" t="str">
        <f>IF(OR(TEXT(L$13,"ddd")="Sun",L$13="",$D187=""),"",IF('Leave Planner'!J188="",1,0))</f>
        <v/>
      </c>
      <c r="M187" s="17" t="str">
        <f>IF(OR(TEXT(M$13,"ddd")="Sun",M$13="",$D187=""),"",IF('Leave Planner'!K188="",1,0))</f>
        <v/>
      </c>
      <c r="N187" s="17" t="str">
        <f>IF(OR(TEXT(N$13,"ddd")="Sun",N$13="",$D187=""),"",IF('Leave Planner'!L188="",1,0))</f>
        <v/>
      </c>
      <c r="O187" s="17" t="str">
        <f>IF(OR(TEXT(O$13,"ddd")="Sun",O$13="",$D187=""),"",IF('Leave Planner'!M188="",1,0))</f>
        <v/>
      </c>
      <c r="P187" s="17" t="str">
        <f>IF(OR(TEXT(P$13,"ddd")="Sun",P$13="",$D187=""),"",IF('Leave Planner'!N188="",1,0))</f>
        <v/>
      </c>
      <c r="Q187" s="17" t="str">
        <f>IF(OR(TEXT(Q$13,"ddd")="Sun",Q$13="",$D187=""),"",IF('Leave Planner'!O188="",1,0))</f>
        <v/>
      </c>
      <c r="R187" s="17" t="str">
        <f>IF(OR(TEXT(R$13,"ddd")="Sun",R$13="",$D187=""),"",IF('Leave Planner'!P188="",1,0))</f>
        <v/>
      </c>
      <c r="S187" s="17" t="str">
        <f>IF(OR(TEXT(S$13,"ddd")="Sun",S$13="",$D187=""),"",IF('Leave Planner'!Q188="",1,0))</f>
        <v/>
      </c>
      <c r="T187" s="17" t="str">
        <f>IF(OR(TEXT(T$13,"ddd")="Sun",T$13="",$D187=""),"",IF('Leave Planner'!R188="",1,0))</f>
        <v/>
      </c>
      <c r="U187" s="17" t="str">
        <f>IF(OR(TEXT(U$13,"ddd")="Sun",U$13="",$D187=""),"",IF('Leave Planner'!S188="",1,0))</f>
        <v/>
      </c>
      <c r="V187" s="17" t="str">
        <f>IF(OR(TEXT(V$13,"ddd")="Sun",V$13="",$D187=""),"",IF('Leave Planner'!T188="",1,0))</f>
        <v/>
      </c>
      <c r="W187" s="17" t="str">
        <f>IF(OR(TEXT(W$13,"ddd")="Sun",W$13="",$D187=""),"",IF('Leave Planner'!U188="",1,0))</f>
        <v/>
      </c>
      <c r="X187" s="17" t="str">
        <f>IF(OR(TEXT(X$13,"ddd")="Sun",X$13="",$D187=""),"",IF('Leave Planner'!V188="",1,0))</f>
        <v/>
      </c>
      <c r="Y187" s="17" t="str">
        <f>IF(OR(TEXT(Y$13,"ddd")="Sun",Y$13="",$D187=""),"",IF('Leave Planner'!W188="",1,0))</f>
        <v/>
      </c>
      <c r="Z187" s="17" t="str">
        <f>IF(OR(TEXT(Z$13,"ddd")="Sun",Z$13="",$D187=""),"",IF('Leave Planner'!X188="",1,0))</f>
        <v/>
      </c>
      <c r="AA187" s="17" t="str">
        <f>IF(OR(TEXT(AA$13,"ddd")="Sun",AA$13="",$D187=""),"",IF('Leave Planner'!Y188="",1,0))</f>
        <v/>
      </c>
      <c r="AB187" s="17" t="str">
        <f>IF(OR(TEXT(AB$13,"ddd")="Sun",AB$13="",$D187=""),"",IF('Leave Planner'!Z188="",1,0))</f>
        <v/>
      </c>
      <c r="AC187" s="17" t="str">
        <f>IF(OR(TEXT(AC$13,"ddd")="Sun",AC$13="",$D187=""),"",IF('Leave Planner'!AA188="",1,0))</f>
        <v/>
      </c>
      <c r="AD187" s="17" t="str">
        <f>IF(OR(TEXT(AD$13,"ddd")="Sun",AD$13="",$D187=""),"",IF('Leave Planner'!AB188="",1,0))</f>
        <v/>
      </c>
      <c r="AE187" s="17" t="str">
        <f>IF(OR(TEXT(AE$13,"ddd")="Sun",AE$13="",$D187=""),"",IF('Leave Planner'!AC188="",1,0))</f>
        <v/>
      </c>
      <c r="AF187" s="17" t="str">
        <f>IF(OR(TEXT(AF$13,"ddd")="Sun",AF$13="",$D187=""),"",IF('Leave Planner'!AD188="",1,0))</f>
        <v/>
      </c>
      <c r="AG187" s="17" t="str">
        <f>IF(OR(TEXT(AG$13,"ddd")="Sun",AG$13="",$D187=""),"",IF('Leave Planner'!AE188="",1,0))</f>
        <v/>
      </c>
      <c r="AH187" s="17" t="str">
        <f>IF(OR(TEXT(AH$13,"ddd")="Sun",AH$13="",$D187=""),"",IF('Leave Planner'!AF188="",1,0))</f>
        <v/>
      </c>
      <c r="AI187" s="17" t="str">
        <f>IF(OR(TEXT(AI$13,"ddd")="Sun",AI$13="",$D187=""),"",IF('Leave Planner'!AG188="",1,0))</f>
        <v/>
      </c>
      <c r="AJ187" s="17" t="str">
        <f>IF(OR(TEXT(AJ$13,"ddd")="Sun",AJ$13="",$D187=""),"",IF('Leave Planner'!AH188="",1,0))</f>
        <v/>
      </c>
    </row>
    <row r="188" spans="2:36" x14ac:dyDescent="0.75">
      <c r="B188" s="15"/>
      <c r="C188" s="22"/>
      <c r="D188" s="22"/>
      <c r="E188" s="42" t="str">
        <f t="shared" si="7"/>
        <v/>
      </c>
      <c r="F188" s="17" t="str">
        <f>IF(OR(TEXT(F$13,"ddd")="Sun",F$13="",$D188=""),"",IF('Leave Planner'!D189="",1,0))</f>
        <v/>
      </c>
      <c r="G188" s="17" t="str">
        <f>IF(OR(TEXT(G$13,"ddd")="Sun",G$13="",$D188=""),"",IF('Leave Planner'!E189="",1,0))</f>
        <v/>
      </c>
      <c r="H188" s="17" t="str">
        <f>IF(OR(TEXT(H$13,"ddd")="Sun",H$13="",$D188=""),"",IF('Leave Planner'!F189="",1,0))</f>
        <v/>
      </c>
      <c r="I188" s="17" t="str">
        <f>IF(OR(TEXT(I$13,"ddd")="Sun",I$13="",$D188=""),"",IF('Leave Planner'!G189="",1,0))</f>
        <v/>
      </c>
      <c r="J188" s="17" t="str">
        <f>IF(OR(TEXT(J$13,"ddd")="Sun",J$13="",$D188=""),"",IF('Leave Planner'!H189="",1,0))</f>
        <v/>
      </c>
      <c r="K188" s="17" t="str">
        <f>IF(OR(TEXT(K$13,"ddd")="Sun",K$13="",$D188=""),"",IF('Leave Planner'!I189="",1,0))</f>
        <v/>
      </c>
      <c r="L188" s="17" t="str">
        <f>IF(OR(TEXT(L$13,"ddd")="Sun",L$13="",$D188=""),"",IF('Leave Planner'!J189="",1,0))</f>
        <v/>
      </c>
      <c r="M188" s="17" t="str">
        <f>IF(OR(TEXT(M$13,"ddd")="Sun",M$13="",$D188=""),"",IF('Leave Planner'!K189="",1,0))</f>
        <v/>
      </c>
      <c r="N188" s="17" t="str">
        <f>IF(OR(TEXT(N$13,"ddd")="Sun",N$13="",$D188=""),"",IF('Leave Planner'!L189="",1,0))</f>
        <v/>
      </c>
      <c r="O188" s="17" t="str">
        <f>IF(OR(TEXT(O$13,"ddd")="Sun",O$13="",$D188=""),"",IF('Leave Planner'!M189="",1,0))</f>
        <v/>
      </c>
      <c r="P188" s="17" t="str">
        <f>IF(OR(TEXT(P$13,"ddd")="Sun",P$13="",$D188=""),"",IF('Leave Planner'!N189="",1,0))</f>
        <v/>
      </c>
      <c r="Q188" s="17" t="str">
        <f>IF(OR(TEXT(Q$13,"ddd")="Sun",Q$13="",$D188=""),"",IF('Leave Planner'!O189="",1,0))</f>
        <v/>
      </c>
      <c r="R188" s="17" t="str">
        <f>IF(OR(TEXT(R$13,"ddd")="Sun",R$13="",$D188=""),"",IF('Leave Planner'!P189="",1,0))</f>
        <v/>
      </c>
      <c r="S188" s="17" t="str">
        <f>IF(OR(TEXT(S$13,"ddd")="Sun",S$13="",$D188=""),"",IF('Leave Planner'!Q189="",1,0))</f>
        <v/>
      </c>
      <c r="T188" s="17" t="str">
        <f>IF(OR(TEXT(T$13,"ddd")="Sun",T$13="",$D188=""),"",IF('Leave Planner'!R189="",1,0))</f>
        <v/>
      </c>
      <c r="U188" s="17" t="str">
        <f>IF(OR(TEXT(U$13,"ddd")="Sun",U$13="",$D188=""),"",IF('Leave Planner'!S189="",1,0))</f>
        <v/>
      </c>
      <c r="V188" s="17" t="str">
        <f>IF(OR(TEXT(V$13,"ddd")="Sun",V$13="",$D188=""),"",IF('Leave Planner'!T189="",1,0))</f>
        <v/>
      </c>
      <c r="W188" s="17" t="str">
        <f>IF(OR(TEXT(W$13,"ddd")="Sun",W$13="",$D188=""),"",IF('Leave Planner'!U189="",1,0))</f>
        <v/>
      </c>
      <c r="X188" s="17" t="str">
        <f>IF(OR(TEXT(X$13,"ddd")="Sun",X$13="",$D188=""),"",IF('Leave Planner'!V189="",1,0))</f>
        <v/>
      </c>
      <c r="Y188" s="17" t="str">
        <f>IF(OR(TEXT(Y$13,"ddd")="Sun",Y$13="",$D188=""),"",IF('Leave Planner'!W189="",1,0))</f>
        <v/>
      </c>
      <c r="Z188" s="17" t="str">
        <f>IF(OR(TEXT(Z$13,"ddd")="Sun",Z$13="",$D188=""),"",IF('Leave Planner'!X189="",1,0))</f>
        <v/>
      </c>
      <c r="AA188" s="17" t="str">
        <f>IF(OR(TEXT(AA$13,"ddd")="Sun",AA$13="",$D188=""),"",IF('Leave Planner'!Y189="",1,0))</f>
        <v/>
      </c>
      <c r="AB188" s="17" t="str">
        <f>IF(OR(TEXT(AB$13,"ddd")="Sun",AB$13="",$D188=""),"",IF('Leave Planner'!Z189="",1,0))</f>
        <v/>
      </c>
      <c r="AC188" s="17" t="str">
        <f>IF(OR(TEXT(AC$13,"ddd")="Sun",AC$13="",$D188=""),"",IF('Leave Planner'!AA189="",1,0))</f>
        <v/>
      </c>
      <c r="AD188" s="17" t="str">
        <f>IF(OR(TEXT(AD$13,"ddd")="Sun",AD$13="",$D188=""),"",IF('Leave Planner'!AB189="",1,0))</f>
        <v/>
      </c>
      <c r="AE188" s="17" t="str">
        <f>IF(OR(TEXT(AE$13,"ddd")="Sun",AE$13="",$D188=""),"",IF('Leave Planner'!AC189="",1,0))</f>
        <v/>
      </c>
      <c r="AF188" s="17" t="str">
        <f>IF(OR(TEXT(AF$13,"ddd")="Sun",AF$13="",$D188=""),"",IF('Leave Planner'!AD189="",1,0))</f>
        <v/>
      </c>
      <c r="AG188" s="17" t="str">
        <f>IF(OR(TEXT(AG$13,"ddd")="Sun",AG$13="",$D188=""),"",IF('Leave Planner'!AE189="",1,0))</f>
        <v/>
      </c>
      <c r="AH188" s="17" t="str">
        <f>IF(OR(TEXT(AH$13,"ddd")="Sun",AH$13="",$D188=""),"",IF('Leave Planner'!AF189="",1,0))</f>
        <v/>
      </c>
      <c r="AI188" s="17" t="str">
        <f>IF(OR(TEXT(AI$13,"ddd")="Sun",AI$13="",$D188=""),"",IF('Leave Planner'!AG189="",1,0))</f>
        <v/>
      </c>
      <c r="AJ188" s="17" t="str">
        <f>IF(OR(TEXT(AJ$13,"ddd")="Sun",AJ$13="",$D188=""),"",IF('Leave Planner'!AH189="",1,0))</f>
        <v/>
      </c>
    </row>
    <row r="189" spans="2:36" x14ac:dyDescent="0.75">
      <c r="B189" s="15"/>
      <c r="C189" s="22"/>
      <c r="D189" s="22"/>
      <c r="E189" s="42" t="str">
        <f t="shared" si="7"/>
        <v/>
      </c>
      <c r="F189" s="17" t="str">
        <f>IF(OR(TEXT(F$13,"ddd")="Sun",F$13="",$D189=""),"",IF('Leave Planner'!D190="",1,0))</f>
        <v/>
      </c>
      <c r="G189" s="17" t="str">
        <f>IF(OR(TEXT(G$13,"ddd")="Sun",G$13="",$D189=""),"",IF('Leave Planner'!E190="",1,0))</f>
        <v/>
      </c>
      <c r="H189" s="17" t="str">
        <f>IF(OR(TEXT(H$13,"ddd")="Sun",H$13="",$D189=""),"",IF('Leave Planner'!F190="",1,0))</f>
        <v/>
      </c>
      <c r="I189" s="17" t="str">
        <f>IF(OR(TEXT(I$13,"ddd")="Sun",I$13="",$D189=""),"",IF('Leave Planner'!G190="",1,0))</f>
        <v/>
      </c>
      <c r="J189" s="17" t="str">
        <f>IF(OR(TEXT(J$13,"ddd")="Sun",J$13="",$D189=""),"",IF('Leave Planner'!H190="",1,0))</f>
        <v/>
      </c>
      <c r="K189" s="17" t="str">
        <f>IF(OR(TEXT(K$13,"ddd")="Sun",K$13="",$D189=""),"",IF('Leave Planner'!I190="",1,0))</f>
        <v/>
      </c>
      <c r="L189" s="17" t="str">
        <f>IF(OR(TEXT(L$13,"ddd")="Sun",L$13="",$D189=""),"",IF('Leave Planner'!J190="",1,0))</f>
        <v/>
      </c>
      <c r="M189" s="17" t="str">
        <f>IF(OR(TEXT(M$13,"ddd")="Sun",M$13="",$D189=""),"",IF('Leave Planner'!K190="",1,0))</f>
        <v/>
      </c>
      <c r="N189" s="17" t="str">
        <f>IF(OR(TEXT(N$13,"ddd")="Sun",N$13="",$D189=""),"",IF('Leave Planner'!L190="",1,0))</f>
        <v/>
      </c>
      <c r="O189" s="17" t="str">
        <f>IF(OR(TEXT(O$13,"ddd")="Sun",O$13="",$D189=""),"",IF('Leave Planner'!M190="",1,0))</f>
        <v/>
      </c>
      <c r="P189" s="17" t="str">
        <f>IF(OR(TEXT(P$13,"ddd")="Sun",P$13="",$D189=""),"",IF('Leave Planner'!N190="",1,0))</f>
        <v/>
      </c>
      <c r="Q189" s="17" t="str">
        <f>IF(OR(TEXT(Q$13,"ddd")="Sun",Q$13="",$D189=""),"",IF('Leave Planner'!O190="",1,0))</f>
        <v/>
      </c>
      <c r="R189" s="17" t="str">
        <f>IF(OR(TEXT(R$13,"ddd")="Sun",R$13="",$D189=""),"",IF('Leave Planner'!P190="",1,0))</f>
        <v/>
      </c>
      <c r="S189" s="17" t="str">
        <f>IF(OR(TEXT(S$13,"ddd")="Sun",S$13="",$D189=""),"",IF('Leave Planner'!Q190="",1,0))</f>
        <v/>
      </c>
      <c r="T189" s="17" t="str">
        <f>IF(OR(TEXT(T$13,"ddd")="Sun",T$13="",$D189=""),"",IF('Leave Planner'!R190="",1,0))</f>
        <v/>
      </c>
      <c r="U189" s="17" t="str">
        <f>IF(OR(TEXT(U$13,"ddd")="Sun",U$13="",$D189=""),"",IF('Leave Planner'!S190="",1,0))</f>
        <v/>
      </c>
      <c r="V189" s="17" t="str">
        <f>IF(OR(TEXT(V$13,"ddd")="Sun",V$13="",$D189=""),"",IF('Leave Planner'!T190="",1,0))</f>
        <v/>
      </c>
      <c r="W189" s="17" t="str">
        <f>IF(OR(TEXT(W$13,"ddd")="Sun",W$13="",$D189=""),"",IF('Leave Planner'!U190="",1,0))</f>
        <v/>
      </c>
      <c r="X189" s="17" t="str">
        <f>IF(OR(TEXT(X$13,"ddd")="Sun",X$13="",$D189=""),"",IF('Leave Planner'!V190="",1,0))</f>
        <v/>
      </c>
      <c r="Y189" s="17" t="str">
        <f>IF(OR(TEXT(Y$13,"ddd")="Sun",Y$13="",$D189=""),"",IF('Leave Planner'!W190="",1,0))</f>
        <v/>
      </c>
      <c r="Z189" s="17" t="str">
        <f>IF(OR(TEXT(Z$13,"ddd")="Sun",Z$13="",$D189=""),"",IF('Leave Planner'!X190="",1,0))</f>
        <v/>
      </c>
      <c r="AA189" s="17" t="str">
        <f>IF(OR(TEXT(AA$13,"ddd")="Sun",AA$13="",$D189=""),"",IF('Leave Planner'!Y190="",1,0))</f>
        <v/>
      </c>
      <c r="AB189" s="17" t="str">
        <f>IF(OR(TEXT(AB$13,"ddd")="Sun",AB$13="",$D189=""),"",IF('Leave Planner'!Z190="",1,0))</f>
        <v/>
      </c>
      <c r="AC189" s="17" t="str">
        <f>IF(OR(TEXT(AC$13,"ddd")="Sun",AC$13="",$D189=""),"",IF('Leave Planner'!AA190="",1,0))</f>
        <v/>
      </c>
      <c r="AD189" s="17" t="str">
        <f>IF(OR(TEXT(AD$13,"ddd")="Sun",AD$13="",$D189=""),"",IF('Leave Planner'!AB190="",1,0))</f>
        <v/>
      </c>
      <c r="AE189" s="17" t="str">
        <f>IF(OR(TEXT(AE$13,"ddd")="Sun",AE$13="",$D189=""),"",IF('Leave Planner'!AC190="",1,0))</f>
        <v/>
      </c>
      <c r="AF189" s="17" t="str">
        <f>IF(OR(TEXT(AF$13,"ddd")="Sun",AF$13="",$D189=""),"",IF('Leave Planner'!AD190="",1,0))</f>
        <v/>
      </c>
      <c r="AG189" s="17" t="str">
        <f>IF(OR(TEXT(AG$13,"ddd")="Sun",AG$13="",$D189=""),"",IF('Leave Planner'!AE190="",1,0))</f>
        <v/>
      </c>
      <c r="AH189" s="17" t="str">
        <f>IF(OR(TEXT(AH$13,"ddd")="Sun",AH$13="",$D189=""),"",IF('Leave Planner'!AF190="",1,0))</f>
        <v/>
      </c>
      <c r="AI189" s="17" t="str">
        <f>IF(OR(TEXT(AI$13,"ddd")="Sun",AI$13="",$D189=""),"",IF('Leave Planner'!AG190="",1,0))</f>
        <v/>
      </c>
      <c r="AJ189" s="17" t="str">
        <f>IF(OR(TEXT(AJ$13,"ddd")="Sun",AJ$13="",$D189=""),"",IF('Leave Planner'!AH190="",1,0))</f>
        <v/>
      </c>
    </row>
    <row r="190" spans="2:36" x14ac:dyDescent="0.75">
      <c r="B190" s="15"/>
      <c r="C190" s="22"/>
      <c r="D190" s="22"/>
      <c r="E190" s="42" t="str">
        <f t="shared" si="7"/>
        <v/>
      </c>
      <c r="F190" s="17" t="str">
        <f>IF(OR(TEXT(F$13,"ddd")="Sun",F$13="",$D190=""),"",IF('Leave Planner'!D191="",1,0))</f>
        <v/>
      </c>
      <c r="G190" s="17" t="str">
        <f>IF(OR(TEXT(G$13,"ddd")="Sun",G$13="",$D190=""),"",IF('Leave Planner'!E191="",1,0))</f>
        <v/>
      </c>
      <c r="H190" s="17" t="str">
        <f>IF(OR(TEXT(H$13,"ddd")="Sun",H$13="",$D190=""),"",IF('Leave Planner'!F191="",1,0))</f>
        <v/>
      </c>
      <c r="I190" s="17" t="str">
        <f>IF(OR(TEXT(I$13,"ddd")="Sun",I$13="",$D190=""),"",IF('Leave Planner'!G191="",1,0))</f>
        <v/>
      </c>
      <c r="J190" s="17" t="str">
        <f>IF(OR(TEXT(J$13,"ddd")="Sun",J$13="",$D190=""),"",IF('Leave Planner'!H191="",1,0))</f>
        <v/>
      </c>
      <c r="K190" s="17" t="str">
        <f>IF(OR(TEXT(K$13,"ddd")="Sun",K$13="",$D190=""),"",IF('Leave Planner'!I191="",1,0))</f>
        <v/>
      </c>
      <c r="L190" s="17" t="str">
        <f>IF(OR(TEXT(L$13,"ddd")="Sun",L$13="",$D190=""),"",IF('Leave Planner'!J191="",1,0))</f>
        <v/>
      </c>
      <c r="M190" s="17" t="str">
        <f>IF(OR(TEXT(M$13,"ddd")="Sun",M$13="",$D190=""),"",IF('Leave Planner'!K191="",1,0))</f>
        <v/>
      </c>
      <c r="N190" s="17" t="str">
        <f>IF(OR(TEXT(N$13,"ddd")="Sun",N$13="",$D190=""),"",IF('Leave Planner'!L191="",1,0))</f>
        <v/>
      </c>
      <c r="O190" s="17" t="str">
        <f>IF(OR(TEXT(O$13,"ddd")="Sun",O$13="",$D190=""),"",IF('Leave Planner'!M191="",1,0))</f>
        <v/>
      </c>
      <c r="P190" s="17" t="str">
        <f>IF(OR(TEXT(P$13,"ddd")="Sun",P$13="",$D190=""),"",IF('Leave Planner'!N191="",1,0))</f>
        <v/>
      </c>
      <c r="Q190" s="17" t="str">
        <f>IF(OR(TEXT(Q$13,"ddd")="Sun",Q$13="",$D190=""),"",IF('Leave Planner'!O191="",1,0))</f>
        <v/>
      </c>
      <c r="R190" s="17" t="str">
        <f>IF(OR(TEXT(R$13,"ddd")="Sun",R$13="",$D190=""),"",IF('Leave Planner'!P191="",1,0))</f>
        <v/>
      </c>
      <c r="S190" s="17" t="str">
        <f>IF(OR(TEXT(S$13,"ddd")="Sun",S$13="",$D190=""),"",IF('Leave Planner'!Q191="",1,0))</f>
        <v/>
      </c>
      <c r="T190" s="17" t="str">
        <f>IF(OR(TEXT(T$13,"ddd")="Sun",T$13="",$D190=""),"",IF('Leave Planner'!R191="",1,0))</f>
        <v/>
      </c>
      <c r="U190" s="17" t="str">
        <f>IF(OR(TEXT(U$13,"ddd")="Sun",U$13="",$D190=""),"",IF('Leave Planner'!S191="",1,0))</f>
        <v/>
      </c>
      <c r="V190" s="17" t="str">
        <f>IF(OR(TEXT(V$13,"ddd")="Sun",V$13="",$D190=""),"",IF('Leave Planner'!T191="",1,0))</f>
        <v/>
      </c>
      <c r="W190" s="17" t="str">
        <f>IF(OR(TEXT(W$13,"ddd")="Sun",W$13="",$D190=""),"",IF('Leave Planner'!U191="",1,0))</f>
        <v/>
      </c>
      <c r="X190" s="17" t="str">
        <f>IF(OR(TEXT(X$13,"ddd")="Sun",X$13="",$D190=""),"",IF('Leave Planner'!V191="",1,0))</f>
        <v/>
      </c>
      <c r="Y190" s="17" t="str">
        <f>IF(OR(TEXT(Y$13,"ddd")="Sun",Y$13="",$D190=""),"",IF('Leave Planner'!W191="",1,0))</f>
        <v/>
      </c>
      <c r="Z190" s="17" t="str">
        <f>IF(OR(TEXT(Z$13,"ddd")="Sun",Z$13="",$D190=""),"",IF('Leave Planner'!X191="",1,0))</f>
        <v/>
      </c>
      <c r="AA190" s="17" t="str">
        <f>IF(OR(TEXT(AA$13,"ddd")="Sun",AA$13="",$D190=""),"",IF('Leave Planner'!Y191="",1,0))</f>
        <v/>
      </c>
      <c r="AB190" s="17" t="str">
        <f>IF(OR(TEXT(AB$13,"ddd")="Sun",AB$13="",$D190=""),"",IF('Leave Planner'!Z191="",1,0))</f>
        <v/>
      </c>
      <c r="AC190" s="17" t="str">
        <f>IF(OR(TEXT(AC$13,"ddd")="Sun",AC$13="",$D190=""),"",IF('Leave Planner'!AA191="",1,0))</f>
        <v/>
      </c>
      <c r="AD190" s="17" t="str">
        <f>IF(OR(TEXT(AD$13,"ddd")="Sun",AD$13="",$D190=""),"",IF('Leave Planner'!AB191="",1,0))</f>
        <v/>
      </c>
      <c r="AE190" s="17" t="str">
        <f>IF(OR(TEXT(AE$13,"ddd")="Sun",AE$13="",$D190=""),"",IF('Leave Planner'!AC191="",1,0))</f>
        <v/>
      </c>
      <c r="AF190" s="17" t="str">
        <f>IF(OR(TEXT(AF$13,"ddd")="Sun",AF$13="",$D190=""),"",IF('Leave Planner'!AD191="",1,0))</f>
        <v/>
      </c>
      <c r="AG190" s="17" t="str">
        <f>IF(OR(TEXT(AG$13,"ddd")="Sun",AG$13="",$D190=""),"",IF('Leave Planner'!AE191="",1,0))</f>
        <v/>
      </c>
      <c r="AH190" s="17" t="str">
        <f>IF(OR(TEXT(AH$13,"ddd")="Sun",AH$13="",$D190=""),"",IF('Leave Planner'!AF191="",1,0))</f>
        <v/>
      </c>
      <c r="AI190" s="17" t="str">
        <f>IF(OR(TEXT(AI$13,"ddd")="Sun",AI$13="",$D190=""),"",IF('Leave Planner'!AG191="",1,0))</f>
        <v/>
      </c>
      <c r="AJ190" s="17" t="str">
        <f>IF(OR(TEXT(AJ$13,"ddd")="Sun",AJ$13="",$D190=""),"",IF('Leave Planner'!AH191="",1,0))</f>
        <v/>
      </c>
    </row>
    <row r="191" spans="2:36" x14ac:dyDescent="0.75">
      <c r="B191" s="15"/>
      <c r="C191" s="22"/>
      <c r="D191" s="22"/>
      <c r="E191" s="42" t="str">
        <f t="shared" si="7"/>
        <v/>
      </c>
      <c r="F191" s="17" t="str">
        <f>IF(OR(TEXT(F$13,"ddd")="Sun",F$13="",$D191=""),"",IF('Leave Planner'!D192="",1,0))</f>
        <v/>
      </c>
      <c r="G191" s="17" t="str">
        <f>IF(OR(TEXT(G$13,"ddd")="Sun",G$13="",$D191=""),"",IF('Leave Planner'!E192="",1,0))</f>
        <v/>
      </c>
      <c r="H191" s="17" t="str">
        <f>IF(OR(TEXT(H$13,"ddd")="Sun",H$13="",$D191=""),"",IF('Leave Planner'!F192="",1,0))</f>
        <v/>
      </c>
      <c r="I191" s="17" t="str">
        <f>IF(OR(TEXT(I$13,"ddd")="Sun",I$13="",$D191=""),"",IF('Leave Planner'!G192="",1,0))</f>
        <v/>
      </c>
      <c r="J191" s="17" t="str">
        <f>IF(OR(TEXT(J$13,"ddd")="Sun",J$13="",$D191=""),"",IF('Leave Planner'!H192="",1,0))</f>
        <v/>
      </c>
      <c r="K191" s="17" t="str">
        <f>IF(OR(TEXT(K$13,"ddd")="Sun",K$13="",$D191=""),"",IF('Leave Planner'!I192="",1,0))</f>
        <v/>
      </c>
      <c r="L191" s="17" t="str">
        <f>IF(OR(TEXT(L$13,"ddd")="Sun",L$13="",$D191=""),"",IF('Leave Planner'!J192="",1,0))</f>
        <v/>
      </c>
      <c r="M191" s="17" t="str">
        <f>IF(OR(TEXT(M$13,"ddd")="Sun",M$13="",$D191=""),"",IF('Leave Planner'!K192="",1,0))</f>
        <v/>
      </c>
      <c r="N191" s="17" t="str">
        <f>IF(OR(TEXT(N$13,"ddd")="Sun",N$13="",$D191=""),"",IF('Leave Planner'!L192="",1,0))</f>
        <v/>
      </c>
      <c r="O191" s="17" t="str">
        <f>IF(OR(TEXT(O$13,"ddd")="Sun",O$13="",$D191=""),"",IF('Leave Planner'!M192="",1,0))</f>
        <v/>
      </c>
      <c r="P191" s="17" t="str">
        <f>IF(OR(TEXT(P$13,"ddd")="Sun",P$13="",$D191=""),"",IF('Leave Planner'!N192="",1,0))</f>
        <v/>
      </c>
      <c r="Q191" s="17" t="str">
        <f>IF(OR(TEXT(Q$13,"ddd")="Sun",Q$13="",$D191=""),"",IF('Leave Planner'!O192="",1,0))</f>
        <v/>
      </c>
      <c r="R191" s="17" t="str">
        <f>IF(OR(TEXT(R$13,"ddd")="Sun",R$13="",$D191=""),"",IF('Leave Planner'!P192="",1,0))</f>
        <v/>
      </c>
      <c r="S191" s="17" t="str">
        <f>IF(OR(TEXT(S$13,"ddd")="Sun",S$13="",$D191=""),"",IF('Leave Planner'!Q192="",1,0))</f>
        <v/>
      </c>
      <c r="T191" s="17" t="str">
        <f>IF(OR(TEXT(T$13,"ddd")="Sun",T$13="",$D191=""),"",IF('Leave Planner'!R192="",1,0))</f>
        <v/>
      </c>
      <c r="U191" s="17" t="str">
        <f>IF(OR(TEXT(U$13,"ddd")="Sun",U$13="",$D191=""),"",IF('Leave Planner'!S192="",1,0))</f>
        <v/>
      </c>
      <c r="V191" s="17" t="str">
        <f>IF(OR(TEXT(V$13,"ddd")="Sun",V$13="",$D191=""),"",IF('Leave Planner'!T192="",1,0))</f>
        <v/>
      </c>
      <c r="W191" s="17" t="str">
        <f>IF(OR(TEXT(W$13,"ddd")="Sun",W$13="",$D191=""),"",IF('Leave Planner'!U192="",1,0))</f>
        <v/>
      </c>
      <c r="X191" s="17" t="str">
        <f>IF(OR(TEXT(X$13,"ddd")="Sun",X$13="",$D191=""),"",IF('Leave Planner'!V192="",1,0))</f>
        <v/>
      </c>
      <c r="Y191" s="17" t="str">
        <f>IF(OR(TEXT(Y$13,"ddd")="Sun",Y$13="",$D191=""),"",IF('Leave Planner'!W192="",1,0))</f>
        <v/>
      </c>
      <c r="Z191" s="17" t="str">
        <f>IF(OR(TEXT(Z$13,"ddd")="Sun",Z$13="",$D191=""),"",IF('Leave Planner'!X192="",1,0))</f>
        <v/>
      </c>
      <c r="AA191" s="17" t="str">
        <f>IF(OR(TEXT(AA$13,"ddd")="Sun",AA$13="",$D191=""),"",IF('Leave Planner'!Y192="",1,0))</f>
        <v/>
      </c>
      <c r="AB191" s="17" t="str">
        <f>IF(OR(TEXT(AB$13,"ddd")="Sun",AB$13="",$D191=""),"",IF('Leave Planner'!Z192="",1,0))</f>
        <v/>
      </c>
      <c r="AC191" s="17" t="str">
        <f>IF(OR(TEXT(AC$13,"ddd")="Sun",AC$13="",$D191=""),"",IF('Leave Planner'!AA192="",1,0))</f>
        <v/>
      </c>
      <c r="AD191" s="17" t="str">
        <f>IF(OR(TEXT(AD$13,"ddd")="Sun",AD$13="",$D191=""),"",IF('Leave Planner'!AB192="",1,0))</f>
        <v/>
      </c>
      <c r="AE191" s="17" t="str">
        <f>IF(OR(TEXT(AE$13,"ddd")="Sun",AE$13="",$D191=""),"",IF('Leave Planner'!AC192="",1,0))</f>
        <v/>
      </c>
      <c r="AF191" s="17" t="str">
        <f>IF(OR(TEXT(AF$13,"ddd")="Sun",AF$13="",$D191=""),"",IF('Leave Planner'!AD192="",1,0))</f>
        <v/>
      </c>
      <c r="AG191" s="17" t="str">
        <f>IF(OR(TEXT(AG$13,"ddd")="Sun",AG$13="",$D191=""),"",IF('Leave Planner'!AE192="",1,0))</f>
        <v/>
      </c>
      <c r="AH191" s="17" t="str">
        <f>IF(OR(TEXT(AH$13,"ddd")="Sun",AH$13="",$D191=""),"",IF('Leave Planner'!AF192="",1,0))</f>
        <v/>
      </c>
      <c r="AI191" s="17" t="str">
        <f>IF(OR(TEXT(AI$13,"ddd")="Sun",AI$13="",$D191=""),"",IF('Leave Planner'!AG192="",1,0))</f>
        <v/>
      </c>
      <c r="AJ191" s="17" t="str">
        <f>IF(OR(TEXT(AJ$13,"ddd")="Sun",AJ$13="",$D191=""),"",IF('Leave Planner'!AH192="",1,0))</f>
        <v/>
      </c>
    </row>
    <row r="192" spans="2:36" x14ac:dyDescent="0.75">
      <c r="B192" s="15"/>
      <c r="C192" s="22"/>
      <c r="D192" s="22"/>
      <c r="E192" s="42" t="str">
        <f t="shared" si="7"/>
        <v/>
      </c>
      <c r="F192" s="17" t="str">
        <f>IF(OR(TEXT(F$13,"ddd")="Sun",F$13="",$D192=""),"",IF('Leave Planner'!D193="",1,0))</f>
        <v/>
      </c>
      <c r="G192" s="17" t="str">
        <f>IF(OR(TEXT(G$13,"ddd")="Sun",G$13="",$D192=""),"",IF('Leave Planner'!E193="",1,0))</f>
        <v/>
      </c>
      <c r="H192" s="17" t="str">
        <f>IF(OR(TEXT(H$13,"ddd")="Sun",H$13="",$D192=""),"",IF('Leave Planner'!F193="",1,0))</f>
        <v/>
      </c>
      <c r="I192" s="17" t="str">
        <f>IF(OR(TEXT(I$13,"ddd")="Sun",I$13="",$D192=""),"",IF('Leave Planner'!G193="",1,0))</f>
        <v/>
      </c>
      <c r="J192" s="17" t="str">
        <f>IF(OR(TEXT(J$13,"ddd")="Sun",J$13="",$D192=""),"",IF('Leave Planner'!H193="",1,0))</f>
        <v/>
      </c>
      <c r="K192" s="17" t="str">
        <f>IF(OR(TEXT(K$13,"ddd")="Sun",K$13="",$D192=""),"",IF('Leave Planner'!I193="",1,0))</f>
        <v/>
      </c>
      <c r="L192" s="17" t="str">
        <f>IF(OR(TEXT(L$13,"ddd")="Sun",L$13="",$D192=""),"",IF('Leave Planner'!J193="",1,0))</f>
        <v/>
      </c>
      <c r="M192" s="17" t="str">
        <f>IF(OR(TEXT(M$13,"ddd")="Sun",M$13="",$D192=""),"",IF('Leave Planner'!K193="",1,0))</f>
        <v/>
      </c>
      <c r="N192" s="17" t="str">
        <f>IF(OR(TEXT(N$13,"ddd")="Sun",N$13="",$D192=""),"",IF('Leave Planner'!L193="",1,0))</f>
        <v/>
      </c>
      <c r="O192" s="17" t="str">
        <f>IF(OR(TEXT(O$13,"ddd")="Sun",O$13="",$D192=""),"",IF('Leave Planner'!M193="",1,0))</f>
        <v/>
      </c>
      <c r="P192" s="17" t="str">
        <f>IF(OR(TEXT(P$13,"ddd")="Sun",P$13="",$D192=""),"",IF('Leave Planner'!N193="",1,0))</f>
        <v/>
      </c>
      <c r="Q192" s="17" t="str">
        <f>IF(OR(TEXT(Q$13,"ddd")="Sun",Q$13="",$D192=""),"",IF('Leave Planner'!O193="",1,0))</f>
        <v/>
      </c>
      <c r="R192" s="17" t="str">
        <f>IF(OR(TEXT(R$13,"ddd")="Sun",R$13="",$D192=""),"",IF('Leave Planner'!P193="",1,0))</f>
        <v/>
      </c>
      <c r="S192" s="17" t="str">
        <f>IF(OR(TEXT(S$13,"ddd")="Sun",S$13="",$D192=""),"",IF('Leave Planner'!Q193="",1,0))</f>
        <v/>
      </c>
      <c r="T192" s="17" t="str">
        <f>IF(OR(TEXT(T$13,"ddd")="Sun",T$13="",$D192=""),"",IF('Leave Planner'!R193="",1,0))</f>
        <v/>
      </c>
      <c r="U192" s="17" t="str">
        <f>IF(OR(TEXT(U$13,"ddd")="Sun",U$13="",$D192=""),"",IF('Leave Planner'!S193="",1,0))</f>
        <v/>
      </c>
      <c r="V192" s="17" t="str">
        <f>IF(OR(TEXT(V$13,"ddd")="Sun",V$13="",$D192=""),"",IF('Leave Planner'!T193="",1,0))</f>
        <v/>
      </c>
      <c r="W192" s="17" t="str">
        <f>IF(OR(TEXT(W$13,"ddd")="Sun",W$13="",$D192=""),"",IF('Leave Planner'!U193="",1,0))</f>
        <v/>
      </c>
      <c r="X192" s="17" t="str">
        <f>IF(OR(TEXT(X$13,"ddd")="Sun",X$13="",$D192=""),"",IF('Leave Planner'!V193="",1,0))</f>
        <v/>
      </c>
      <c r="Y192" s="17" t="str">
        <f>IF(OR(TEXT(Y$13,"ddd")="Sun",Y$13="",$D192=""),"",IF('Leave Planner'!W193="",1,0))</f>
        <v/>
      </c>
      <c r="Z192" s="17" t="str">
        <f>IF(OR(TEXT(Z$13,"ddd")="Sun",Z$13="",$D192=""),"",IF('Leave Planner'!X193="",1,0))</f>
        <v/>
      </c>
      <c r="AA192" s="17" t="str">
        <f>IF(OR(TEXT(AA$13,"ddd")="Sun",AA$13="",$D192=""),"",IF('Leave Planner'!Y193="",1,0))</f>
        <v/>
      </c>
      <c r="AB192" s="17" t="str">
        <f>IF(OR(TEXT(AB$13,"ddd")="Sun",AB$13="",$D192=""),"",IF('Leave Planner'!Z193="",1,0))</f>
        <v/>
      </c>
      <c r="AC192" s="17" t="str">
        <f>IF(OR(TEXT(AC$13,"ddd")="Sun",AC$13="",$D192=""),"",IF('Leave Planner'!AA193="",1,0))</f>
        <v/>
      </c>
      <c r="AD192" s="17" t="str">
        <f>IF(OR(TEXT(AD$13,"ddd")="Sun",AD$13="",$D192=""),"",IF('Leave Planner'!AB193="",1,0))</f>
        <v/>
      </c>
      <c r="AE192" s="17" t="str">
        <f>IF(OR(TEXT(AE$13,"ddd")="Sun",AE$13="",$D192=""),"",IF('Leave Planner'!AC193="",1,0))</f>
        <v/>
      </c>
      <c r="AF192" s="17" t="str">
        <f>IF(OR(TEXT(AF$13,"ddd")="Sun",AF$13="",$D192=""),"",IF('Leave Planner'!AD193="",1,0))</f>
        <v/>
      </c>
      <c r="AG192" s="17" t="str">
        <f>IF(OR(TEXT(AG$13,"ddd")="Sun",AG$13="",$D192=""),"",IF('Leave Planner'!AE193="",1,0))</f>
        <v/>
      </c>
      <c r="AH192" s="17" t="str">
        <f>IF(OR(TEXT(AH$13,"ddd")="Sun",AH$13="",$D192=""),"",IF('Leave Planner'!AF193="",1,0))</f>
        <v/>
      </c>
      <c r="AI192" s="17" t="str">
        <f>IF(OR(TEXT(AI$13,"ddd")="Sun",AI$13="",$D192=""),"",IF('Leave Planner'!AG193="",1,0))</f>
        <v/>
      </c>
      <c r="AJ192" s="17" t="str">
        <f>IF(OR(TEXT(AJ$13,"ddd")="Sun",AJ$13="",$D192=""),"",IF('Leave Planner'!AH193="",1,0))</f>
        <v/>
      </c>
    </row>
    <row r="193" spans="2:36" x14ac:dyDescent="0.75">
      <c r="B193" s="15"/>
      <c r="C193" s="22"/>
      <c r="D193" s="22"/>
      <c r="E193" s="42" t="str">
        <f t="shared" si="7"/>
        <v/>
      </c>
      <c r="F193" s="17" t="str">
        <f>IF(OR(TEXT(F$13,"ddd")="Sun",F$13="",$D193=""),"",IF('Leave Planner'!D194="",1,0))</f>
        <v/>
      </c>
      <c r="G193" s="17" t="str">
        <f>IF(OR(TEXT(G$13,"ddd")="Sun",G$13="",$D193=""),"",IF('Leave Planner'!E194="",1,0))</f>
        <v/>
      </c>
      <c r="H193" s="17" t="str">
        <f>IF(OR(TEXT(H$13,"ddd")="Sun",H$13="",$D193=""),"",IF('Leave Planner'!F194="",1,0))</f>
        <v/>
      </c>
      <c r="I193" s="17" t="str">
        <f>IF(OR(TEXT(I$13,"ddd")="Sun",I$13="",$D193=""),"",IF('Leave Planner'!G194="",1,0))</f>
        <v/>
      </c>
      <c r="J193" s="17" t="str">
        <f>IF(OR(TEXT(J$13,"ddd")="Sun",J$13="",$D193=""),"",IF('Leave Planner'!H194="",1,0))</f>
        <v/>
      </c>
      <c r="K193" s="17" t="str">
        <f>IF(OR(TEXT(K$13,"ddd")="Sun",K$13="",$D193=""),"",IF('Leave Planner'!I194="",1,0))</f>
        <v/>
      </c>
      <c r="L193" s="17" t="str">
        <f>IF(OR(TEXT(L$13,"ddd")="Sun",L$13="",$D193=""),"",IF('Leave Planner'!J194="",1,0))</f>
        <v/>
      </c>
      <c r="M193" s="17" t="str">
        <f>IF(OR(TEXT(M$13,"ddd")="Sun",M$13="",$D193=""),"",IF('Leave Planner'!K194="",1,0))</f>
        <v/>
      </c>
      <c r="N193" s="17" t="str">
        <f>IF(OR(TEXT(N$13,"ddd")="Sun",N$13="",$D193=""),"",IF('Leave Planner'!L194="",1,0))</f>
        <v/>
      </c>
      <c r="O193" s="17" t="str">
        <f>IF(OR(TEXT(O$13,"ddd")="Sun",O$13="",$D193=""),"",IF('Leave Planner'!M194="",1,0))</f>
        <v/>
      </c>
      <c r="P193" s="17" t="str">
        <f>IF(OR(TEXT(P$13,"ddd")="Sun",P$13="",$D193=""),"",IF('Leave Planner'!N194="",1,0))</f>
        <v/>
      </c>
      <c r="Q193" s="17" t="str">
        <f>IF(OR(TEXT(Q$13,"ddd")="Sun",Q$13="",$D193=""),"",IF('Leave Planner'!O194="",1,0))</f>
        <v/>
      </c>
      <c r="R193" s="17" t="str">
        <f>IF(OR(TEXT(R$13,"ddd")="Sun",R$13="",$D193=""),"",IF('Leave Planner'!P194="",1,0))</f>
        <v/>
      </c>
      <c r="S193" s="17" t="str">
        <f>IF(OR(TEXT(S$13,"ddd")="Sun",S$13="",$D193=""),"",IF('Leave Planner'!Q194="",1,0))</f>
        <v/>
      </c>
      <c r="T193" s="17" t="str">
        <f>IF(OR(TEXT(T$13,"ddd")="Sun",T$13="",$D193=""),"",IF('Leave Planner'!R194="",1,0))</f>
        <v/>
      </c>
      <c r="U193" s="17" t="str">
        <f>IF(OR(TEXT(U$13,"ddd")="Sun",U$13="",$D193=""),"",IF('Leave Planner'!S194="",1,0))</f>
        <v/>
      </c>
      <c r="V193" s="17" t="str">
        <f>IF(OR(TEXT(V$13,"ddd")="Sun",V$13="",$D193=""),"",IF('Leave Planner'!T194="",1,0))</f>
        <v/>
      </c>
      <c r="W193" s="17" t="str">
        <f>IF(OR(TEXT(W$13,"ddd")="Sun",W$13="",$D193=""),"",IF('Leave Planner'!U194="",1,0))</f>
        <v/>
      </c>
      <c r="X193" s="17" t="str">
        <f>IF(OR(TEXT(X$13,"ddd")="Sun",X$13="",$D193=""),"",IF('Leave Planner'!V194="",1,0))</f>
        <v/>
      </c>
      <c r="Y193" s="17" t="str">
        <f>IF(OR(TEXT(Y$13,"ddd")="Sun",Y$13="",$D193=""),"",IF('Leave Planner'!W194="",1,0))</f>
        <v/>
      </c>
      <c r="Z193" s="17" t="str">
        <f>IF(OR(TEXT(Z$13,"ddd")="Sun",Z$13="",$D193=""),"",IF('Leave Planner'!X194="",1,0))</f>
        <v/>
      </c>
      <c r="AA193" s="17" t="str">
        <f>IF(OR(TEXT(AA$13,"ddd")="Sun",AA$13="",$D193=""),"",IF('Leave Planner'!Y194="",1,0))</f>
        <v/>
      </c>
      <c r="AB193" s="17" t="str">
        <f>IF(OR(TEXT(AB$13,"ddd")="Sun",AB$13="",$D193=""),"",IF('Leave Planner'!Z194="",1,0))</f>
        <v/>
      </c>
      <c r="AC193" s="17" t="str">
        <f>IF(OR(TEXT(AC$13,"ddd")="Sun",AC$13="",$D193=""),"",IF('Leave Planner'!AA194="",1,0))</f>
        <v/>
      </c>
      <c r="AD193" s="17" t="str">
        <f>IF(OR(TEXT(AD$13,"ddd")="Sun",AD$13="",$D193=""),"",IF('Leave Planner'!AB194="",1,0))</f>
        <v/>
      </c>
      <c r="AE193" s="17" t="str">
        <f>IF(OR(TEXT(AE$13,"ddd")="Sun",AE$13="",$D193=""),"",IF('Leave Planner'!AC194="",1,0))</f>
        <v/>
      </c>
      <c r="AF193" s="17" t="str">
        <f>IF(OR(TEXT(AF$13,"ddd")="Sun",AF$13="",$D193=""),"",IF('Leave Planner'!AD194="",1,0))</f>
        <v/>
      </c>
      <c r="AG193" s="17" t="str">
        <f>IF(OR(TEXT(AG$13,"ddd")="Sun",AG$13="",$D193=""),"",IF('Leave Planner'!AE194="",1,0))</f>
        <v/>
      </c>
      <c r="AH193" s="17" t="str">
        <f>IF(OR(TEXT(AH$13,"ddd")="Sun",AH$13="",$D193=""),"",IF('Leave Planner'!AF194="",1,0))</f>
        <v/>
      </c>
      <c r="AI193" s="17" t="str">
        <f>IF(OR(TEXT(AI$13,"ddd")="Sun",AI$13="",$D193=""),"",IF('Leave Planner'!AG194="",1,0))</f>
        <v/>
      </c>
      <c r="AJ193" s="17" t="str">
        <f>IF(OR(TEXT(AJ$13,"ddd")="Sun",AJ$13="",$D193=""),"",IF('Leave Planner'!AH194="",1,0))</f>
        <v/>
      </c>
    </row>
    <row r="194" spans="2:36" x14ac:dyDescent="0.75">
      <c r="B194" s="15"/>
      <c r="C194" s="22"/>
      <c r="D194" s="22"/>
      <c r="E194" s="42" t="str">
        <f t="shared" si="7"/>
        <v/>
      </c>
      <c r="F194" s="17" t="str">
        <f>IF(OR(TEXT(F$13,"ddd")="Sun",F$13="",$D194=""),"",IF('Leave Planner'!D195="",1,0))</f>
        <v/>
      </c>
      <c r="G194" s="17" t="str">
        <f>IF(OR(TEXT(G$13,"ddd")="Sun",G$13="",$D194=""),"",IF('Leave Planner'!E195="",1,0))</f>
        <v/>
      </c>
      <c r="H194" s="17" t="str">
        <f>IF(OR(TEXT(H$13,"ddd")="Sun",H$13="",$D194=""),"",IF('Leave Planner'!F195="",1,0))</f>
        <v/>
      </c>
      <c r="I194" s="17" t="str">
        <f>IF(OR(TEXT(I$13,"ddd")="Sun",I$13="",$D194=""),"",IF('Leave Planner'!G195="",1,0))</f>
        <v/>
      </c>
      <c r="J194" s="17" t="str">
        <f>IF(OR(TEXT(J$13,"ddd")="Sun",J$13="",$D194=""),"",IF('Leave Planner'!H195="",1,0))</f>
        <v/>
      </c>
      <c r="K194" s="17" t="str">
        <f>IF(OR(TEXT(K$13,"ddd")="Sun",K$13="",$D194=""),"",IF('Leave Planner'!I195="",1,0))</f>
        <v/>
      </c>
      <c r="L194" s="17" t="str">
        <f>IF(OR(TEXT(L$13,"ddd")="Sun",L$13="",$D194=""),"",IF('Leave Planner'!J195="",1,0))</f>
        <v/>
      </c>
      <c r="M194" s="17" t="str">
        <f>IF(OR(TEXT(M$13,"ddd")="Sun",M$13="",$D194=""),"",IF('Leave Planner'!K195="",1,0))</f>
        <v/>
      </c>
      <c r="N194" s="17" t="str">
        <f>IF(OR(TEXT(N$13,"ddd")="Sun",N$13="",$D194=""),"",IF('Leave Planner'!L195="",1,0))</f>
        <v/>
      </c>
      <c r="O194" s="17" t="str">
        <f>IF(OR(TEXT(O$13,"ddd")="Sun",O$13="",$D194=""),"",IF('Leave Planner'!M195="",1,0))</f>
        <v/>
      </c>
      <c r="P194" s="17" t="str">
        <f>IF(OR(TEXT(P$13,"ddd")="Sun",P$13="",$D194=""),"",IF('Leave Planner'!N195="",1,0))</f>
        <v/>
      </c>
      <c r="Q194" s="17" t="str">
        <f>IF(OR(TEXT(Q$13,"ddd")="Sun",Q$13="",$D194=""),"",IF('Leave Planner'!O195="",1,0))</f>
        <v/>
      </c>
      <c r="R194" s="17" t="str">
        <f>IF(OR(TEXT(R$13,"ddd")="Sun",R$13="",$D194=""),"",IF('Leave Planner'!P195="",1,0))</f>
        <v/>
      </c>
      <c r="S194" s="17" t="str">
        <f>IF(OR(TEXT(S$13,"ddd")="Sun",S$13="",$D194=""),"",IF('Leave Planner'!Q195="",1,0))</f>
        <v/>
      </c>
      <c r="T194" s="17" t="str">
        <f>IF(OR(TEXT(T$13,"ddd")="Sun",T$13="",$D194=""),"",IF('Leave Planner'!R195="",1,0))</f>
        <v/>
      </c>
      <c r="U194" s="17" t="str">
        <f>IF(OR(TEXT(U$13,"ddd")="Sun",U$13="",$D194=""),"",IF('Leave Planner'!S195="",1,0))</f>
        <v/>
      </c>
      <c r="V194" s="17" t="str">
        <f>IF(OR(TEXT(V$13,"ddd")="Sun",V$13="",$D194=""),"",IF('Leave Planner'!T195="",1,0))</f>
        <v/>
      </c>
      <c r="W194" s="17" t="str">
        <f>IF(OR(TEXT(W$13,"ddd")="Sun",W$13="",$D194=""),"",IF('Leave Planner'!U195="",1,0))</f>
        <v/>
      </c>
      <c r="X194" s="17" t="str">
        <f>IF(OR(TEXT(X$13,"ddd")="Sun",X$13="",$D194=""),"",IF('Leave Planner'!V195="",1,0))</f>
        <v/>
      </c>
      <c r="Y194" s="17" t="str">
        <f>IF(OR(TEXT(Y$13,"ddd")="Sun",Y$13="",$D194=""),"",IF('Leave Planner'!W195="",1,0))</f>
        <v/>
      </c>
      <c r="Z194" s="17" t="str">
        <f>IF(OR(TEXT(Z$13,"ddd")="Sun",Z$13="",$D194=""),"",IF('Leave Planner'!X195="",1,0))</f>
        <v/>
      </c>
      <c r="AA194" s="17" t="str">
        <f>IF(OR(TEXT(AA$13,"ddd")="Sun",AA$13="",$D194=""),"",IF('Leave Planner'!Y195="",1,0))</f>
        <v/>
      </c>
      <c r="AB194" s="17" t="str">
        <f>IF(OR(TEXT(AB$13,"ddd")="Sun",AB$13="",$D194=""),"",IF('Leave Planner'!Z195="",1,0))</f>
        <v/>
      </c>
      <c r="AC194" s="17" t="str">
        <f>IF(OR(TEXT(AC$13,"ddd")="Sun",AC$13="",$D194=""),"",IF('Leave Planner'!AA195="",1,0))</f>
        <v/>
      </c>
      <c r="AD194" s="17" t="str">
        <f>IF(OR(TEXT(AD$13,"ddd")="Sun",AD$13="",$D194=""),"",IF('Leave Planner'!AB195="",1,0))</f>
        <v/>
      </c>
      <c r="AE194" s="17" t="str">
        <f>IF(OR(TEXT(AE$13,"ddd")="Sun",AE$13="",$D194=""),"",IF('Leave Planner'!AC195="",1,0))</f>
        <v/>
      </c>
      <c r="AF194" s="17" t="str">
        <f>IF(OR(TEXT(AF$13,"ddd")="Sun",AF$13="",$D194=""),"",IF('Leave Planner'!AD195="",1,0))</f>
        <v/>
      </c>
      <c r="AG194" s="17" t="str">
        <f>IF(OR(TEXT(AG$13,"ddd")="Sun",AG$13="",$D194=""),"",IF('Leave Planner'!AE195="",1,0))</f>
        <v/>
      </c>
      <c r="AH194" s="17" t="str">
        <f>IF(OR(TEXT(AH$13,"ddd")="Sun",AH$13="",$D194=""),"",IF('Leave Planner'!AF195="",1,0))</f>
        <v/>
      </c>
      <c r="AI194" s="17" t="str">
        <f>IF(OR(TEXT(AI$13,"ddd")="Sun",AI$13="",$D194=""),"",IF('Leave Planner'!AG195="",1,0))</f>
        <v/>
      </c>
      <c r="AJ194" s="17" t="str">
        <f>IF(OR(TEXT(AJ$13,"ddd")="Sun",AJ$13="",$D194=""),"",IF('Leave Planner'!AH195="",1,0))</f>
        <v/>
      </c>
    </row>
    <row r="195" spans="2:36" x14ac:dyDescent="0.75">
      <c r="B195" s="15"/>
      <c r="C195" s="22"/>
      <c r="D195" s="22"/>
      <c r="E195" s="42" t="str">
        <f t="shared" si="7"/>
        <v/>
      </c>
      <c r="F195" s="17" t="str">
        <f>IF(OR(TEXT(F$13,"ddd")="Sun",F$13="",$D195=""),"",IF('Leave Planner'!D196="",1,0))</f>
        <v/>
      </c>
      <c r="G195" s="17" t="str">
        <f>IF(OR(TEXT(G$13,"ddd")="Sun",G$13="",$D195=""),"",IF('Leave Planner'!E196="",1,0))</f>
        <v/>
      </c>
      <c r="H195" s="17" t="str">
        <f>IF(OR(TEXT(H$13,"ddd")="Sun",H$13="",$D195=""),"",IF('Leave Planner'!F196="",1,0))</f>
        <v/>
      </c>
      <c r="I195" s="17" t="str">
        <f>IF(OR(TEXT(I$13,"ddd")="Sun",I$13="",$D195=""),"",IF('Leave Planner'!G196="",1,0))</f>
        <v/>
      </c>
      <c r="J195" s="17" t="str">
        <f>IF(OR(TEXT(J$13,"ddd")="Sun",J$13="",$D195=""),"",IF('Leave Planner'!H196="",1,0))</f>
        <v/>
      </c>
      <c r="K195" s="17" t="str">
        <f>IF(OR(TEXT(K$13,"ddd")="Sun",K$13="",$D195=""),"",IF('Leave Planner'!I196="",1,0))</f>
        <v/>
      </c>
      <c r="L195" s="17" t="str">
        <f>IF(OR(TEXT(L$13,"ddd")="Sun",L$13="",$D195=""),"",IF('Leave Planner'!J196="",1,0))</f>
        <v/>
      </c>
      <c r="M195" s="17" t="str">
        <f>IF(OR(TEXT(M$13,"ddd")="Sun",M$13="",$D195=""),"",IF('Leave Planner'!K196="",1,0))</f>
        <v/>
      </c>
      <c r="N195" s="17" t="str">
        <f>IF(OR(TEXT(N$13,"ddd")="Sun",N$13="",$D195=""),"",IF('Leave Planner'!L196="",1,0))</f>
        <v/>
      </c>
      <c r="O195" s="17" t="str">
        <f>IF(OR(TEXT(O$13,"ddd")="Sun",O$13="",$D195=""),"",IF('Leave Planner'!M196="",1,0))</f>
        <v/>
      </c>
      <c r="P195" s="17" t="str">
        <f>IF(OR(TEXT(P$13,"ddd")="Sun",P$13="",$D195=""),"",IF('Leave Planner'!N196="",1,0))</f>
        <v/>
      </c>
      <c r="Q195" s="17" t="str">
        <f>IF(OR(TEXT(Q$13,"ddd")="Sun",Q$13="",$D195=""),"",IF('Leave Planner'!O196="",1,0))</f>
        <v/>
      </c>
      <c r="R195" s="17" t="str">
        <f>IF(OR(TEXT(R$13,"ddd")="Sun",R$13="",$D195=""),"",IF('Leave Planner'!P196="",1,0))</f>
        <v/>
      </c>
      <c r="S195" s="17" t="str">
        <f>IF(OR(TEXT(S$13,"ddd")="Sun",S$13="",$D195=""),"",IF('Leave Planner'!Q196="",1,0))</f>
        <v/>
      </c>
      <c r="T195" s="17" t="str">
        <f>IF(OR(TEXT(T$13,"ddd")="Sun",T$13="",$D195=""),"",IF('Leave Planner'!R196="",1,0))</f>
        <v/>
      </c>
      <c r="U195" s="17" t="str">
        <f>IF(OR(TEXT(U$13,"ddd")="Sun",U$13="",$D195=""),"",IF('Leave Planner'!S196="",1,0))</f>
        <v/>
      </c>
      <c r="V195" s="17" t="str">
        <f>IF(OR(TEXT(V$13,"ddd")="Sun",V$13="",$D195=""),"",IF('Leave Planner'!T196="",1,0))</f>
        <v/>
      </c>
      <c r="W195" s="17" t="str">
        <f>IF(OR(TEXT(W$13,"ddd")="Sun",W$13="",$D195=""),"",IF('Leave Planner'!U196="",1,0))</f>
        <v/>
      </c>
      <c r="X195" s="17" t="str">
        <f>IF(OR(TEXT(X$13,"ddd")="Sun",X$13="",$D195=""),"",IF('Leave Planner'!V196="",1,0))</f>
        <v/>
      </c>
      <c r="Y195" s="17" t="str">
        <f>IF(OR(TEXT(Y$13,"ddd")="Sun",Y$13="",$D195=""),"",IF('Leave Planner'!W196="",1,0))</f>
        <v/>
      </c>
      <c r="Z195" s="17" t="str">
        <f>IF(OR(TEXT(Z$13,"ddd")="Sun",Z$13="",$D195=""),"",IF('Leave Planner'!X196="",1,0))</f>
        <v/>
      </c>
      <c r="AA195" s="17" t="str">
        <f>IF(OR(TEXT(AA$13,"ddd")="Sun",AA$13="",$D195=""),"",IF('Leave Planner'!Y196="",1,0))</f>
        <v/>
      </c>
      <c r="AB195" s="17" t="str">
        <f>IF(OR(TEXT(AB$13,"ddd")="Sun",AB$13="",$D195=""),"",IF('Leave Planner'!Z196="",1,0))</f>
        <v/>
      </c>
      <c r="AC195" s="17" t="str">
        <f>IF(OR(TEXT(AC$13,"ddd")="Sun",AC$13="",$D195=""),"",IF('Leave Planner'!AA196="",1,0))</f>
        <v/>
      </c>
      <c r="AD195" s="17" t="str">
        <f>IF(OR(TEXT(AD$13,"ddd")="Sun",AD$13="",$D195=""),"",IF('Leave Planner'!AB196="",1,0))</f>
        <v/>
      </c>
      <c r="AE195" s="17" t="str">
        <f>IF(OR(TEXT(AE$13,"ddd")="Sun",AE$13="",$D195=""),"",IF('Leave Planner'!AC196="",1,0))</f>
        <v/>
      </c>
      <c r="AF195" s="17" t="str">
        <f>IF(OR(TEXT(AF$13,"ddd")="Sun",AF$13="",$D195=""),"",IF('Leave Planner'!AD196="",1,0))</f>
        <v/>
      </c>
      <c r="AG195" s="17" t="str">
        <f>IF(OR(TEXT(AG$13,"ddd")="Sun",AG$13="",$D195=""),"",IF('Leave Planner'!AE196="",1,0))</f>
        <v/>
      </c>
      <c r="AH195" s="17" t="str">
        <f>IF(OR(TEXT(AH$13,"ddd")="Sun",AH$13="",$D195=""),"",IF('Leave Planner'!AF196="",1,0))</f>
        <v/>
      </c>
      <c r="AI195" s="17" t="str">
        <f>IF(OR(TEXT(AI$13,"ddd")="Sun",AI$13="",$D195=""),"",IF('Leave Planner'!AG196="",1,0))</f>
        <v/>
      </c>
      <c r="AJ195" s="17" t="str">
        <f>IF(OR(TEXT(AJ$13,"ddd")="Sun",AJ$13="",$D195=""),"",IF('Leave Planner'!AH196="",1,0))</f>
        <v/>
      </c>
    </row>
    <row r="196" spans="2:36" x14ac:dyDescent="0.75">
      <c r="B196" s="15"/>
      <c r="C196" s="22"/>
      <c r="D196" s="22"/>
      <c r="E196" s="42" t="str">
        <f t="shared" si="7"/>
        <v/>
      </c>
      <c r="F196" s="17" t="str">
        <f>IF(OR(TEXT(F$13,"ddd")="Sun",F$13="",$D196=""),"",IF('Leave Planner'!D197="",1,0))</f>
        <v/>
      </c>
      <c r="G196" s="17" t="str">
        <f>IF(OR(TEXT(G$13,"ddd")="Sun",G$13="",$D196=""),"",IF('Leave Planner'!E197="",1,0))</f>
        <v/>
      </c>
      <c r="H196" s="17" t="str">
        <f>IF(OR(TEXT(H$13,"ddd")="Sun",H$13="",$D196=""),"",IF('Leave Planner'!F197="",1,0))</f>
        <v/>
      </c>
      <c r="I196" s="17" t="str">
        <f>IF(OR(TEXT(I$13,"ddd")="Sun",I$13="",$D196=""),"",IF('Leave Planner'!G197="",1,0))</f>
        <v/>
      </c>
      <c r="J196" s="17" t="str">
        <f>IF(OR(TEXT(J$13,"ddd")="Sun",J$13="",$D196=""),"",IF('Leave Planner'!H197="",1,0))</f>
        <v/>
      </c>
      <c r="K196" s="17" t="str">
        <f>IF(OR(TEXT(K$13,"ddd")="Sun",K$13="",$D196=""),"",IF('Leave Planner'!I197="",1,0))</f>
        <v/>
      </c>
      <c r="L196" s="17" t="str">
        <f>IF(OR(TEXT(L$13,"ddd")="Sun",L$13="",$D196=""),"",IF('Leave Planner'!J197="",1,0))</f>
        <v/>
      </c>
      <c r="M196" s="17" t="str">
        <f>IF(OR(TEXT(M$13,"ddd")="Sun",M$13="",$D196=""),"",IF('Leave Planner'!K197="",1,0))</f>
        <v/>
      </c>
      <c r="N196" s="17" t="str">
        <f>IF(OR(TEXT(N$13,"ddd")="Sun",N$13="",$D196=""),"",IF('Leave Planner'!L197="",1,0))</f>
        <v/>
      </c>
      <c r="O196" s="17" t="str">
        <f>IF(OR(TEXT(O$13,"ddd")="Sun",O$13="",$D196=""),"",IF('Leave Planner'!M197="",1,0))</f>
        <v/>
      </c>
      <c r="P196" s="17" t="str">
        <f>IF(OR(TEXT(P$13,"ddd")="Sun",P$13="",$D196=""),"",IF('Leave Planner'!N197="",1,0))</f>
        <v/>
      </c>
      <c r="Q196" s="17" t="str">
        <f>IF(OR(TEXT(Q$13,"ddd")="Sun",Q$13="",$D196=""),"",IF('Leave Planner'!O197="",1,0))</f>
        <v/>
      </c>
      <c r="R196" s="17" t="str">
        <f>IF(OR(TEXT(R$13,"ddd")="Sun",R$13="",$D196=""),"",IF('Leave Planner'!P197="",1,0))</f>
        <v/>
      </c>
      <c r="S196" s="17" t="str">
        <f>IF(OR(TEXT(S$13,"ddd")="Sun",S$13="",$D196=""),"",IF('Leave Planner'!Q197="",1,0))</f>
        <v/>
      </c>
      <c r="T196" s="17" t="str">
        <f>IF(OR(TEXT(T$13,"ddd")="Sun",T$13="",$D196=""),"",IF('Leave Planner'!R197="",1,0))</f>
        <v/>
      </c>
      <c r="U196" s="17" t="str">
        <f>IF(OR(TEXT(U$13,"ddd")="Sun",U$13="",$D196=""),"",IF('Leave Planner'!S197="",1,0))</f>
        <v/>
      </c>
      <c r="V196" s="17" t="str">
        <f>IF(OR(TEXT(V$13,"ddd")="Sun",V$13="",$D196=""),"",IF('Leave Planner'!T197="",1,0))</f>
        <v/>
      </c>
      <c r="W196" s="17" t="str">
        <f>IF(OR(TEXT(W$13,"ddd")="Sun",W$13="",$D196=""),"",IF('Leave Planner'!U197="",1,0))</f>
        <v/>
      </c>
      <c r="X196" s="17" t="str">
        <f>IF(OR(TEXT(X$13,"ddd")="Sun",X$13="",$D196=""),"",IF('Leave Planner'!V197="",1,0))</f>
        <v/>
      </c>
      <c r="Y196" s="17" t="str">
        <f>IF(OR(TEXT(Y$13,"ddd")="Sun",Y$13="",$D196=""),"",IF('Leave Planner'!W197="",1,0))</f>
        <v/>
      </c>
      <c r="Z196" s="17" t="str">
        <f>IF(OR(TEXT(Z$13,"ddd")="Sun",Z$13="",$D196=""),"",IF('Leave Planner'!X197="",1,0))</f>
        <v/>
      </c>
      <c r="AA196" s="17" t="str">
        <f>IF(OR(TEXT(AA$13,"ddd")="Sun",AA$13="",$D196=""),"",IF('Leave Planner'!Y197="",1,0))</f>
        <v/>
      </c>
      <c r="AB196" s="17" t="str">
        <f>IF(OR(TEXT(AB$13,"ddd")="Sun",AB$13="",$D196=""),"",IF('Leave Planner'!Z197="",1,0))</f>
        <v/>
      </c>
      <c r="AC196" s="17" t="str">
        <f>IF(OR(TEXT(AC$13,"ddd")="Sun",AC$13="",$D196=""),"",IF('Leave Planner'!AA197="",1,0))</f>
        <v/>
      </c>
      <c r="AD196" s="17" t="str">
        <f>IF(OR(TEXT(AD$13,"ddd")="Sun",AD$13="",$D196=""),"",IF('Leave Planner'!AB197="",1,0))</f>
        <v/>
      </c>
      <c r="AE196" s="17" t="str">
        <f>IF(OR(TEXT(AE$13,"ddd")="Sun",AE$13="",$D196=""),"",IF('Leave Planner'!AC197="",1,0))</f>
        <v/>
      </c>
      <c r="AF196" s="17" t="str">
        <f>IF(OR(TEXT(AF$13,"ddd")="Sun",AF$13="",$D196=""),"",IF('Leave Planner'!AD197="",1,0))</f>
        <v/>
      </c>
      <c r="AG196" s="17" t="str">
        <f>IF(OR(TEXT(AG$13,"ddd")="Sun",AG$13="",$D196=""),"",IF('Leave Planner'!AE197="",1,0))</f>
        <v/>
      </c>
      <c r="AH196" s="17" t="str">
        <f>IF(OR(TEXT(AH$13,"ddd")="Sun",AH$13="",$D196=""),"",IF('Leave Planner'!AF197="",1,0))</f>
        <v/>
      </c>
      <c r="AI196" s="17" t="str">
        <f>IF(OR(TEXT(AI$13,"ddd")="Sun",AI$13="",$D196=""),"",IF('Leave Planner'!AG197="",1,0))</f>
        <v/>
      </c>
      <c r="AJ196" s="17" t="str">
        <f>IF(OR(TEXT(AJ$13,"ddd")="Sun",AJ$13="",$D196=""),"",IF('Leave Planner'!AH197="",1,0))</f>
        <v/>
      </c>
    </row>
    <row r="197" spans="2:36" x14ac:dyDescent="0.75">
      <c r="B197" s="15"/>
      <c r="C197" s="22"/>
      <c r="D197" s="22"/>
      <c r="E197" s="42" t="str">
        <f t="shared" si="7"/>
        <v/>
      </c>
      <c r="F197" s="17" t="str">
        <f>IF(OR(TEXT(F$13,"ddd")="Sun",F$13="",$D197=""),"",IF('Leave Planner'!D198="",1,0))</f>
        <v/>
      </c>
      <c r="G197" s="17" t="str">
        <f>IF(OR(TEXT(G$13,"ddd")="Sun",G$13="",$D197=""),"",IF('Leave Planner'!E198="",1,0))</f>
        <v/>
      </c>
      <c r="H197" s="17" t="str">
        <f>IF(OR(TEXT(H$13,"ddd")="Sun",H$13="",$D197=""),"",IF('Leave Planner'!F198="",1,0))</f>
        <v/>
      </c>
      <c r="I197" s="17" t="str">
        <f>IF(OR(TEXT(I$13,"ddd")="Sun",I$13="",$D197=""),"",IF('Leave Planner'!G198="",1,0))</f>
        <v/>
      </c>
      <c r="J197" s="17" t="str">
        <f>IF(OR(TEXT(J$13,"ddd")="Sun",J$13="",$D197=""),"",IF('Leave Planner'!H198="",1,0))</f>
        <v/>
      </c>
      <c r="K197" s="17" t="str">
        <f>IF(OR(TEXT(K$13,"ddd")="Sun",K$13="",$D197=""),"",IF('Leave Planner'!I198="",1,0))</f>
        <v/>
      </c>
      <c r="L197" s="17" t="str">
        <f>IF(OR(TEXT(L$13,"ddd")="Sun",L$13="",$D197=""),"",IF('Leave Planner'!J198="",1,0))</f>
        <v/>
      </c>
      <c r="M197" s="17" t="str">
        <f>IF(OR(TEXT(M$13,"ddd")="Sun",M$13="",$D197=""),"",IF('Leave Planner'!K198="",1,0))</f>
        <v/>
      </c>
      <c r="N197" s="17" t="str">
        <f>IF(OR(TEXT(N$13,"ddd")="Sun",N$13="",$D197=""),"",IF('Leave Planner'!L198="",1,0))</f>
        <v/>
      </c>
      <c r="O197" s="17" t="str">
        <f>IF(OR(TEXT(O$13,"ddd")="Sun",O$13="",$D197=""),"",IF('Leave Planner'!M198="",1,0))</f>
        <v/>
      </c>
      <c r="P197" s="17" t="str">
        <f>IF(OR(TEXT(P$13,"ddd")="Sun",P$13="",$D197=""),"",IF('Leave Planner'!N198="",1,0))</f>
        <v/>
      </c>
      <c r="Q197" s="17" t="str">
        <f>IF(OR(TEXT(Q$13,"ddd")="Sun",Q$13="",$D197=""),"",IF('Leave Planner'!O198="",1,0))</f>
        <v/>
      </c>
      <c r="R197" s="17" t="str">
        <f>IF(OR(TEXT(R$13,"ddd")="Sun",R$13="",$D197=""),"",IF('Leave Planner'!P198="",1,0))</f>
        <v/>
      </c>
      <c r="S197" s="17" t="str">
        <f>IF(OR(TEXT(S$13,"ddd")="Sun",S$13="",$D197=""),"",IF('Leave Planner'!Q198="",1,0))</f>
        <v/>
      </c>
      <c r="T197" s="17" t="str">
        <f>IF(OR(TEXT(T$13,"ddd")="Sun",T$13="",$D197=""),"",IF('Leave Planner'!R198="",1,0))</f>
        <v/>
      </c>
      <c r="U197" s="17" t="str">
        <f>IF(OR(TEXT(U$13,"ddd")="Sun",U$13="",$D197=""),"",IF('Leave Planner'!S198="",1,0))</f>
        <v/>
      </c>
      <c r="V197" s="17" t="str">
        <f>IF(OR(TEXT(V$13,"ddd")="Sun",V$13="",$D197=""),"",IF('Leave Planner'!T198="",1,0))</f>
        <v/>
      </c>
      <c r="W197" s="17" t="str">
        <f>IF(OR(TEXT(W$13,"ddd")="Sun",W$13="",$D197=""),"",IF('Leave Planner'!U198="",1,0))</f>
        <v/>
      </c>
      <c r="X197" s="17" t="str">
        <f>IF(OR(TEXT(X$13,"ddd")="Sun",X$13="",$D197=""),"",IF('Leave Planner'!V198="",1,0))</f>
        <v/>
      </c>
      <c r="Y197" s="17" t="str">
        <f>IF(OR(TEXT(Y$13,"ddd")="Sun",Y$13="",$D197=""),"",IF('Leave Planner'!W198="",1,0))</f>
        <v/>
      </c>
      <c r="Z197" s="17" t="str">
        <f>IF(OR(TEXT(Z$13,"ddd")="Sun",Z$13="",$D197=""),"",IF('Leave Planner'!X198="",1,0))</f>
        <v/>
      </c>
      <c r="AA197" s="17" t="str">
        <f>IF(OR(TEXT(AA$13,"ddd")="Sun",AA$13="",$D197=""),"",IF('Leave Planner'!Y198="",1,0))</f>
        <v/>
      </c>
      <c r="AB197" s="17" t="str">
        <f>IF(OR(TEXT(AB$13,"ddd")="Sun",AB$13="",$D197=""),"",IF('Leave Planner'!Z198="",1,0))</f>
        <v/>
      </c>
      <c r="AC197" s="17" t="str">
        <f>IF(OR(TEXT(AC$13,"ddd")="Sun",AC$13="",$D197=""),"",IF('Leave Planner'!AA198="",1,0))</f>
        <v/>
      </c>
      <c r="AD197" s="17" t="str">
        <f>IF(OR(TEXT(AD$13,"ddd")="Sun",AD$13="",$D197=""),"",IF('Leave Planner'!AB198="",1,0))</f>
        <v/>
      </c>
      <c r="AE197" s="17" t="str">
        <f>IF(OR(TEXT(AE$13,"ddd")="Sun",AE$13="",$D197=""),"",IF('Leave Planner'!AC198="",1,0))</f>
        <v/>
      </c>
      <c r="AF197" s="17" t="str">
        <f>IF(OR(TEXT(AF$13,"ddd")="Sun",AF$13="",$D197=""),"",IF('Leave Planner'!AD198="",1,0))</f>
        <v/>
      </c>
      <c r="AG197" s="17" t="str">
        <f>IF(OR(TEXT(AG$13,"ddd")="Sun",AG$13="",$D197=""),"",IF('Leave Planner'!AE198="",1,0))</f>
        <v/>
      </c>
      <c r="AH197" s="17" t="str">
        <f>IF(OR(TEXT(AH$13,"ddd")="Sun",AH$13="",$D197=""),"",IF('Leave Planner'!AF198="",1,0))</f>
        <v/>
      </c>
      <c r="AI197" s="17" t="str">
        <f>IF(OR(TEXT(AI$13,"ddd")="Sun",AI$13="",$D197=""),"",IF('Leave Planner'!AG198="",1,0))</f>
        <v/>
      </c>
      <c r="AJ197" s="17" t="str">
        <f>IF(OR(TEXT(AJ$13,"ddd")="Sun",AJ$13="",$D197=""),"",IF('Leave Planner'!AH198="",1,0))</f>
        <v/>
      </c>
    </row>
    <row r="198" spans="2:36" x14ac:dyDescent="0.75">
      <c r="B198" s="15"/>
      <c r="C198" s="22"/>
      <c r="D198" s="22"/>
      <c r="E198" s="42" t="str">
        <f t="shared" si="7"/>
        <v/>
      </c>
      <c r="F198" s="17" t="str">
        <f>IF(OR(TEXT(F$13,"ddd")="Sun",F$13="",$D198=""),"",IF('Leave Planner'!D199="",1,0))</f>
        <v/>
      </c>
      <c r="G198" s="17" t="str">
        <f>IF(OR(TEXT(G$13,"ddd")="Sun",G$13="",$D198=""),"",IF('Leave Planner'!E199="",1,0))</f>
        <v/>
      </c>
      <c r="H198" s="17" t="str">
        <f>IF(OR(TEXT(H$13,"ddd")="Sun",H$13="",$D198=""),"",IF('Leave Planner'!F199="",1,0))</f>
        <v/>
      </c>
      <c r="I198" s="17" t="str">
        <f>IF(OR(TEXT(I$13,"ddd")="Sun",I$13="",$D198=""),"",IF('Leave Planner'!G199="",1,0))</f>
        <v/>
      </c>
      <c r="J198" s="17" t="str">
        <f>IF(OR(TEXT(J$13,"ddd")="Sun",J$13="",$D198=""),"",IF('Leave Planner'!H199="",1,0))</f>
        <v/>
      </c>
      <c r="K198" s="17" t="str">
        <f>IF(OR(TEXT(K$13,"ddd")="Sun",K$13="",$D198=""),"",IF('Leave Planner'!I199="",1,0))</f>
        <v/>
      </c>
      <c r="L198" s="17" t="str">
        <f>IF(OR(TEXT(L$13,"ddd")="Sun",L$13="",$D198=""),"",IF('Leave Planner'!J199="",1,0))</f>
        <v/>
      </c>
      <c r="M198" s="17" t="str">
        <f>IF(OR(TEXT(M$13,"ddd")="Sun",M$13="",$D198=""),"",IF('Leave Planner'!K199="",1,0))</f>
        <v/>
      </c>
      <c r="N198" s="17" t="str">
        <f>IF(OR(TEXT(N$13,"ddd")="Sun",N$13="",$D198=""),"",IF('Leave Planner'!L199="",1,0))</f>
        <v/>
      </c>
      <c r="O198" s="17" t="str">
        <f>IF(OR(TEXT(O$13,"ddd")="Sun",O$13="",$D198=""),"",IF('Leave Planner'!M199="",1,0))</f>
        <v/>
      </c>
      <c r="P198" s="17" t="str">
        <f>IF(OR(TEXT(P$13,"ddd")="Sun",P$13="",$D198=""),"",IF('Leave Planner'!N199="",1,0))</f>
        <v/>
      </c>
      <c r="Q198" s="17" t="str">
        <f>IF(OR(TEXT(Q$13,"ddd")="Sun",Q$13="",$D198=""),"",IF('Leave Planner'!O199="",1,0))</f>
        <v/>
      </c>
      <c r="R198" s="17" t="str">
        <f>IF(OR(TEXT(R$13,"ddd")="Sun",R$13="",$D198=""),"",IF('Leave Planner'!P199="",1,0))</f>
        <v/>
      </c>
      <c r="S198" s="17" t="str">
        <f>IF(OR(TEXT(S$13,"ddd")="Sun",S$13="",$D198=""),"",IF('Leave Planner'!Q199="",1,0))</f>
        <v/>
      </c>
      <c r="T198" s="17" t="str">
        <f>IF(OR(TEXT(T$13,"ddd")="Sun",T$13="",$D198=""),"",IF('Leave Planner'!R199="",1,0))</f>
        <v/>
      </c>
      <c r="U198" s="17" t="str">
        <f>IF(OR(TEXT(U$13,"ddd")="Sun",U$13="",$D198=""),"",IF('Leave Planner'!S199="",1,0))</f>
        <v/>
      </c>
      <c r="V198" s="17" t="str">
        <f>IF(OR(TEXT(V$13,"ddd")="Sun",V$13="",$D198=""),"",IF('Leave Planner'!T199="",1,0))</f>
        <v/>
      </c>
      <c r="W198" s="17" t="str">
        <f>IF(OR(TEXT(W$13,"ddd")="Sun",W$13="",$D198=""),"",IF('Leave Planner'!U199="",1,0))</f>
        <v/>
      </c>
      <c r="X198" s="17" t="str">
        <f>IF(OR(TEXT(X$13,"ddd")="Sun",X$13="",$D198=""),"",IF('Leave Planner'!V199="",1,0))</f>
        <v/>
      </c>
      <c r="Y198" s="17" t="str">
        <f>IF(OR(TEXT(Y$13,"ddd")="Sun",Y$13="",$D198=""),"",IF('Leave Planner'!W199="",1,0))</f>
        <v/>
      </c>
      <c r="Z198" s="17" t="str">
        <f>IF(OR(TEXT(Z$13,"ddd")="Sun",Z$13="",$D198=""),"",IF('Leave Planner'!X199="",1,0))</f>
        <v/>
      </c>
      <c r="AA198" s="17" t="str">
        <f>IF(OR(TEXT(AA$13,"ddd")="Sun",AA$13="",$D198=""),"",IF('Leave Planner'!Y199="",1,0))</f>
        <v/>
      </c>
      <c r="AB198" s="17" t="str">
        <f>IF(OR(TEXT(AB$13,"ddd")="Sun",AB$13="",$D198=""),"",IF('Leave Planner'!Z199="",1,0))</f>
        <v/>
      </c>
      <c r="AC198" s="17" t="str">
        <f>IF(OR(TEXT(AC$13,"ddd")="Sun",AC$13="",$D198=""),"",IF('Leave Planner'!AA199="",1,0))</f>
        <v/>
      </c>
      <c r="AD198" s="17" t="str">
        <f>IF(OR(TEXT(AD$13,"ddd")="Sun",AD$13="",$D198=""),"",IF('Leave Planner'!AB199="",1,0))</f>
        <v/>
      </c>
      <c r="AE198" s="17" t="str">
        <f>IF(OR(TEXT(AE$13,"ddd")="Sun",AE$13="",$D198=""),"",IF('Leave Planner'!AC199="",1,0))</f>
        <v/>
      </c>
      <c r="AF198" s="17" t="str">
        <f>IF(OR(TEXT(AF$13,"ddd")="Sun",AF$13="",$D198=""),"",IF('Leave Planner'!AD199="",1,0))</f>
        <v/>
      </c>
      <c r="AG198" s="17" t="str">
        <f>IF(OR(TEXT(AG$13,"ddd")="Sun",AG$13="",$D198=""),"",IF('Leave Planner'!AE199="",1,0))</f>
        <v/>
      </c>
      <c r="AH198" s="17" t="str">
        <f>IF(OR(TEXT(AH$13,"ddd")="Sun",AH$13="",$D198=""),"",IF('Leave Planner'!AF199="",1,0))</f>
        <v/>
      </c>
      <c r="AI198" s="17" t="str">
        <f>IF(OR(TEXT(AI$13,"ddd")="Sun",AI$13="",$D198=""),"",IF('Leave Planner'!AG199="",1,0))</f>
        <v/>
      </c>
      <c r="AJ198" s="17" t="str">
        <f>IF(OR(TEXT(AJ$13,"ddd")="Sun",AJ$13="",$D198=""),"",IF('Leave Planner'!AH199="",1,0))</f>
        <v/>
      </c>
    </row>
    <row r="199" spans="2:36" x14ac:dyDescent="0.75">
      <c r="B199" s="15"/>
      <c r="C199" s="22"/>
      <c r="D199" s="22"/>
      <c r="E199" s="42" t="str">
        <f t="shared" si="7"/>
        <v/>
      </c>
      <c r="F199" s="17" t="str">
        <f>IF(OR(TEXT(F$13,"ddd")="Sun",F$13="",$D199=""),"",IF('Leave Planner'!D200="",1,0))</f>
        <v/>
      </c>
      <c r="G199" s="17" t="str">
        <f>IF(OR(TEXT(G$13,"ddd")="Sun",G$13="",$D199=""),"",IF('Leave Planner'!E200="",1,0))</f>
        <v/>
      </c>
      <c r="H199" s="17" t="str">
        <f>IF(OR(TEXT(H$13,"ddd")="Sun",H$13="",$D199=""),"",IF('Leave Planner'!F200="",1,0))</f>
        <v/>
      </c>
      <c r="I199" s="17" t="str">
        <f>IF(OR(TEXT(I$13,"ddd")="Sun",I$13="",$D199=""),"",IF('Leave Planner'!G200="",1,0))</f>
        <v/>
      </c>
      <c r="J199" s="17" t="str">
        <f>IF(OR(TEXT(J$13,"ddd")="Sun",J$13="",$D199=""),"",IF('Leave Planner'!H200="",1,0))</f>
        <v/>
      </c>
      <c r="K199" s="17" t="str">
        <f>IF(OR(TEXT(K$13,"ddd")="Sun",K$13="",$D199=""),"",IF('Leave Planner'!I200="",1,0))</f>
        <v/>
      </c>
      <c r="L199" s="17" t="str">
        <f>IF(OR(TEXT(L$13,"ddd")="Sun",L$13="",$D199=""),"",IF('Leave Planner'!J200="",1,0))</f>
        <v/>
      </c>
      <c r="M199" s="17" t="str">
        <f>IF(OR(TEXT(M$13,"ddd")="Sun",M$13="",$D199=""),"",IF('Leave Planner'!K200="",1,0))</f>
        <v/>
      </c>
      <c r="N199" s="17" t="str">
        <f>IF(OR(TEXT(N$13,"ddd")="Sun",N$13="",$D199=""),"",IF('Leave Planner'!L200="",1,0))</f>
        <v/>
      </c>
      <c r="O199" s="17" t="str">
        <f>IF(OR(TEXT(O$13,"ddd")="Sun",O$13="",$D199=""),"",IF('Leave Planner'!M200="",1,0))</f>
        <v/>
      </c>
      <c r="P199" s="17" t="str">
        <f>IF(OR(TEXT(P$13,"ddd")="Sun",P$13="",$D199=""),"",IF('Leave Planner'!N200="",1,0))</f>
        <v/>
      </c>
      <c r="Q199" s="17" t="str">
        <f>IF(OR(TEXT(Q$13,"ddd")="Sun",Q$13="",$D199=""),"",IF('Leave Planner'!O200="",1,0))</f>
        <v/>
      </c>
      <c r="R199" s="17" t="str">
        <f>IF(OR(TEXT(R$13,"ddd")="Sun",R$13="",$D199=""),"",IF('Leave Planner'!P200="",1,0))</f>
        <v/>
      </c>
      <c r="S199" s="17" t="str">
        <f>IF(OR(TEXT(S$13,"ddd")="Sun",S$13="",$D199=""),"",IF('Leave Planner'!Q200="",1,0))</f>
        <v/>
      </c>
      <c r="T199" s="17" t="str">
        <f>IF(OR(TEXT(T$13,"ddd")="Sun",T$13="",$D199=""),"",IF('Leave Planner'!R200="",1,0))</f>
        <v/>
      </c>
      <c r="U199" s="17" t="str">
        <f>IF(OR(TEXT(U$13,"ddd")="Sun",U$13="",$D199=""),"",IF('Leave Planner'!S200="",1,0))</f>
        <v/>
      </c>
      <c r="V199" s="17" t="str">
        <f>IF(OR(TEXT(V$13,"ddd")="Sun",V$13="",$D199=""),"",IF('Leave Planner'!T200="",1,0))</f>
        <v/>
      </c>
      <c r="W199" s="17" t="str">
        <f>IF(OR(TEXT(W$13,"ddd")="Sun",W$13="",$D199=""),"",IF('Leave Planner'!U200="",1,0))</f>
        <v/>
      </c>
      <c r="X199" s="17" t="str">
        <f>IF(OR(TEXT(X$13,"ddd")="Sun",X$13="",$D199=""),"",IF('Leave Planner'!V200="",1,0))</f>
        <v/>
      </c>
      <c r="Y199" s="17" t="str">
        <f>IF(OR(TEXT(Y$13,"ddd")="Sun",Y$13="",$D199=""),"",IF('Leave Planner'!W200="",1,0))</f>
        <v/>
      </c>
      <c r="Z199" s="17" t="str">
        <f>IF(OR(TEXT(Z$13,"ddd")="Sun",Z$13="",$D199=""),"",IF('Leave Planner'!X200="",1,0))</f>
        <v/>
      </c>
      <c r="AA199" s="17" t="str">
        <f>IF(OR(TEXT(AA$13,"ddd")="Sun",AA$13="",$D199=""),"",IF('Leave Planner'!Y200="",1,0))</f>
        <v/>
      </c>
      <c r="AB199" s="17" t="str">
        <f>IF(OR(TEXT(AB$13,"ddd")="Sun",AB$13="",$D199=""),"",IF('Leave Planner'!Z200="",1,0))</f>
        <v/>
      </c>
      <c r="AC199" s="17" t="str">
        <f>IF(OR(TEXT(AC$13,"ddd")="Sun",AC$13="",$D199=""),"",IF('Leave Planner'!AA200="",1,0))</f>
        <v/>
      </c>
      <c r="AD199" s="17" t="str">
        <f>IF(OR(TEXT(AD$13,"ddd")="Sun",AD$13="",$D199=""),"",IF('Leave Planner'!AB200="",1,0))</f>
        <v/>
      </c>
      <c r="AE199" s="17" t="str">
        <f>IF(OR(TEXT(AE$13,"ddd")="Sun",AE$13="",$D199=""),"",IF('Leave Planner'!AC200="",1,0))</f>
        <v/>
      </c>
      <c r="AF199" s="17" t="str">
        <f>IF(OR(TEXT(AF$13,"ddd")="Sun",AF$13="",$D199=""),"",IF('Leave Planner'!AD200="",1,0))</f>
        <v/>
      </c>
      <c r="AG199" s="17" t="str">
        <f>IF(OR(TEXT(AG$13,"ddd")="Sun",AG$13="",$D199=""),"",IF('Leave Planner'!AE200="",1,0))</f>
        <v/>
      </c>
      <c r="AH199" s="17" t="str">
        <f>IF(OR(TEXT(AH$13,"ddd")="Sun",AH$13="",$D199=""),"",IF('Leave Planner'!AF200="",1,0))</f>
        <v/>
      </c>
      <c r="AI199" s="17" t="str">
        <f>IF(OR(TEXT(AI$13,"ddd")="Sun",AI$13="",$D199=""),"",IF('Leave Planner'!AG200="",1,0))</f>
        <v/>
      </c>
      <c r="AJ199" s="17" t="str">
        <f>IF(OR(TEXT(AJ$13,"ddd")="Sun",AJ$13="",$D199=""),"",IF('Leave Planner'!AH200="",1,0))</f>
        <v/>
      </c>
    </row>
    <row r="200" spans="2:36" x14ac:dyDescent="0.75">
      <c r="B200" s="15"/>
      <c r="C200" s="22"/>
      <c r="D200" s="22"/>
      <c r="E200" s="42" t="str">
        <f t="shared" si="7"/>
        <v/>
      </c>
      <c r="F200" s="17" t="str">
        <f>IF(OR(TEXT(F$13,"ddd")="Sun",F$13="",$D200=""),"",IF('Leave Planner'!D201="",1,0))</f>
        <v/>
      </c>
      <c r="G200" s="17" t="str">
        <f>IF(OR(TEXT(G$13,"ddd")="Sun",G$13="",$D200=""),"",IF('Leave Planner'!E201="",1,0))</f>
        <v/>
      </c>
      <c r="H200" s="17" t="str">
        <f>IF(OR(TEXT(H$13,"ddd")="Sun",H$13="",$D200=""),"",IF('Leave Planner'!F201="",1,0))</f>
        <v/>
      </c>
      <c r="I200" s="17" t="str">
        <f>IF(OR(TEXT(I$13,"ddd")="Sun",I$13="",$D200=""),"",IF('Leave Planner'!G201="",1,0))</f>
        <v/>
      </c>
      <c r="J200" s="17" t="str">
        <f>IF(OR(TEXT(J$13,"ddd")="Sun",J$13="",$D200=""),"",IF('Leave Planner'!H201="",1,0))</f>
        <v/>
      </c>
      <c r="K200" s="17" t="str">
        <f>IF(OR(TEXT(K$13,"ddd")="Sun",K$13="",$D200=""),"",IF('Leave Planner'!I201="",1,0))</f>
        <v/>
      </c>
      <c r="L200" s="17" t="str">
        <f>IF(OR(TEXT(L$13,"ddd")="Sun",L$13="",$D200=""),"",IF('Leave Planner'!J201="",1,0))</f>
        <v/>
      </c>
      <c r="M200" s="17" t="str">
        <f>IF(OR(TEXT(M$13,"ddd")="Sun",M$13="",$D200=""),"",IF('Leave Planner'!K201="",1,0))</f>
        <v/>
      </c>
      <c r="N200" s="17" t="str">
        <f>IF(OR(TEXT(N$13,"ddd")="Sun",N$13="",$D200=""),"",IF('Leave Planner'!L201="",1,0))</f>
        <v/>
      </c>
      <c r="O200" s="17" t="str">
        <f>IF(OR(TEXT(O$13,"ddd")="Sun",O$13="",$D200=""),"",IF('Leave Planner'!M201="",1,0))</f>
        <v/>
      </c>
      <c r="P200" s="17" t="str">
        <f>IF(OR(TEXT(P$13,"ddd")="Sun",P$13="",$D200=""),"",IF('Leave Planner'!N201="",1,0))</f>
        <v/>
      </c>
      <c r="Q200" s="17" t="str">
        <f>IF(OR(TEXT(Q$13,"ddd")="Sun",Q$13="",$D200=""),"",IF('Leave Planner'!O201="",1,0))</f>
        <v/>
      </c>
      <c r="R200" s="17" t="str">
        <f>IF(OR(TEXT(R$13,"ddd")="Sun",R$13="",$D200=""),"",IF('Leave Planner'!P201="",1,0))</f>
        <v/>
      </c>
      <c r="S200" s="17" t="str">
        <f>IF(OR(TEXT(S$13,"ddd")="Sun",S$13="",$D200=""),"",IF('Leave Planner'!Q201="",1,0))</f>
        <v/>
      </c>
      <c r="T200" s="17" t="str">
        <f>IF(OR(TEXT(T$13,"ddd")="Sun",T$13="",$D200=""),"",IF('Leave Planner'!R201="",1,0))</f>
        <v/>
      </c>
      <c r="U200" s="17" t="str">
        <f>IF(OR(TEXT(U$13,"ddd")="Sun",U$13="",$D200=""),"",IF('Leave Planner'!S201="",1,0))</f>
        <v/>
      </c>
      <c r="V200" s="17" t="str">
        <f>IF(OR(TEXT(V$13,"ddd")="Sun",V$13="",$D200=""),"",IF('Leave Planner'!T201="",1,0))</f>
        <v/>
      </c>
      <c r="W200" s="17" t="str">
        <f>IF(OR(TEXT(W$13,"ddd")="Sun",W$13="",$D200=""),"",IF('Leave Planner'!U201="",1,0))</f>
        <v/>
      </c>
      <c r="X200" s="17" t="str">
        <f>IF(OR(TEXT(X$13,"ddd")="Sun",X$13="",$D200=""),"",IF('Leave Planner'!V201="",1,0))</f>
        <v/>
      </c>
      <c r="Y200" s="17" t="str">
        <f>IF(OR(TEXT(Y$13,"ddd")="Sun",Y$13="",$D200=""),"",IF('Leave Planner'!W201="",1,0))</f>
        <v/>
      </c>
      <c r="Z200" s="17" t="str">
        <f>IF(OR(TEXT(Z$13,"ddd")="Sun",Z$13="",$D200=""),"",IF('Leave Planner'!X201="",1,0))</f>
        <v/>
      </c>
      <c r="AA200" s="17" t="str">
        <f>IF(OR(TEXT(AA$13,"ddd")="Sun",AA$13="",$D200=""),"",IF('Leave Planner'!Y201="",1,0))</f>
        <v/>
      </c>
      <c r="AB200" s="17" t="str">
        <f>IF(OR(TEXT(AB$13,"ddd")="Sun",AB$13="",$D200=""),"",IF('Leave Planner'!Z201="",1,0))</f>
        <v/>
      </c>
      <c r="AC200" s="17" t="str">
        <f>IF(OR(TEXT(AC$13,"ddd")="Sun",AC$13="",$D200=""),"",IF('Leave Planner'!AA201="",1,0))</f>
        <v/>
      </c>
      <c r="AD200" s="17" t="str">
        <f>IF(OR(TEXT(AD$13,"ddd")="Sun",AD$13="",$D200=""),"",IF('Leave Planner'!AB201="",1,0))</f>
        <v/>
      </c>
      <c r="AE200" s="17" t="str">
        <f>IF(OR(TEXT(AE$13,"ddd")="Sun",AE$13="",$D200=""),"",IF('Leave Planner'!AC201="",1,0))</f>
        <v/>
      </c>
      <c r="AF200" s="17" t="str">
        <f>IF(OR(TEXT(AF$13,"ddd")="Sun",AF$13="",$D200=""),"",IF('Leave Planner'!AD201="",1,0))</f>
        <v/>
      </c>
      <c r="AG200" s="17" t="str">
        <f>IF(OR(TEXT(AG$13,"ddd")="Sun",AG$13="",$D200=""),"",IF('Leave Planner'!AE201="",1,0))</f>
        <v/>
      </c>
      <c r="AH200" s="17" t="str">
        <f>IF(OR(TEXT(AH$13,"ddd")="Sun",AH$13="",$D200=""),"",IF('Leave Planner'!AF201="",1,0))</f>
        <v/>
      </c>
      <c r="AI200" s="17" t="str">
        <f>IF(OR(TEXT(AI$13,"ddd")="Sun",AI$13="",$D200=""),"",IF('Leave Planner'!AG201="",1,0))</f>
        <v/>
      </c>
      <c r="AJ200" s="17" t="str">
        <f>IF(OR(TEXT(AJ$13,"ddd")="Sun",AJ$13="",$D200=""),"",IF('Leave Planner'!AH201="",1,0))</f>
        <v/>
      </c>
    </row>
    <row r="201" spans="2:36" x14ac:dyDescent="0.75">
      <c r="B201" s="15"/>
      <c r="C201" s="22"/>
      <c r="D201" s="22"/>
      <c r="E201" s="42" t="str">
        <f t="shared" si="7"/>
        <v/>
      </c>
      <c r="F201" s="17" t="str">
        <f>IF(OR(TEXT(F$13,"ddd")="Sun",F$13="",$D201=""),"",IF('Leave Planner'!D202="",1,0))</f>
        <v/>
      </c>
      <c r="G201" s="17" t="str">
        <f>IF(OR(TEXT(G$13,"ddd")="Sun",G$13="",$D201=""),"",IF('Leave Planner'!E202="",1,0))</f>
        <v/>
      </c>
      <c r="H201" s="17" t="str">
        <f>IF(OR(TEXT(H$13,"ddd")="Sun",H$13="",$D201=""),"",IF('Leave Planner'!F202="",1,0))</f>
        <v/>
      </c>
      <c r="I201" s="17" t="str">
        <f>IF(OR(TEXT(I$13,"ddd")="Sun",I$13="",$D201=""),"",IF('Leave Planner'!G202="",1,0))</f>
        <v/>
      </c>
      <c r="J201" s="17" t="str">
        <f>IF(OR(TEXT(J$13,"ddd")="Sun",J$13="",$D201=""),"",IF('Leave Planner'!H202="",1,0))</f>
        <v/>
      </c>
      <c r="K201" s="17" t="str">
        <f>IF(OR(TEXT(K$13,"ddd")="Sun",K$13="",$D201=""),"",IF('Leave Planner'!I202="",1,0))</f>
        <v/>
      </c>
      <c r="L201" s="17" t="str">
        <f>IF(OR(TEXT(L$13,"ddd")="Sun",L$13="",$D201=""),"",IF('Leave Planner'!J202="",1,0))</f>
        <v/>
      </c>
      <c r="M201" s="17" t="str">
        <f>IF(OR(TEXT(M$13,"ddd")="Sun",M$13="",$D201=""),"",IF('Leave Planner'!K202="",1,0))</f>
        <v/>
      </c>
      <c r="N201" s="17" t="str">
        <f>IF(OR(TEXT(N$13,"ddd")="Sun",N$13="",$D201=""),"",IF('Leave Planner'!L202="",1,0))</f>
        <v/>
      </c>
      <c r="O201" s="17" t="str">
        <f>IF(OR(TEXT(O$13,"ddd")="Sun",O$13="",$D201=""),"",IF('Leave Planner'!M202="",1,0))</f>
        <v/>
      </c>
      <c r="P201" s="17" t="str">
        <f>IF(OR(TEXT(P$13,"ddd")="Sun",P$13="",$D201=""),"",IF('Leave Planner'!N202="",1,0))</f>
        <v/>
      </c>
      <c r="Q201" s="17" t="str">
        <f>IF(OR(TEXT(Q$13,"ddd")="Sun",Q$13="",$D201=""),"",IF('Leave Planner'!O202="",1,0))</f>
        <v/>
      </c>
      <c r="R201" s="17" t="str">
        <f>IF(OR(TEXT(R$13,"ddd")="Sun",R$13="",$D201=""),"",IF('Leave Planner'!P202="",1,0))</f>
        <v/>
      </c>
      <c r="S201" s="17" t="str">
        <f>IF(OR(TEXT(S$13,"ddd")="Sun",S$13="",$D201=""),"",IF('Leave Planner'!Q202="",1,0))</f>
        <v/>
      </c>
      <c r="T201" s="17" t="str">
        <f>IF(OR(TEXT(T$13,"ddd")="Sun",T$13="",$D201=""),"",IF('Leave Planner'!R202="",1,0))</f>
        <v/>
      </c>
      <c r="U201" s="17" t="str">
        <f>IF(OR(TEXT(U$13,"ddd")="Sun",U$13="",$D201=""),"",IF('Leave Planner'!S202="",1,0))</f>
        <v/>
      </c>
      <c r="V201" s="17" t="str">
        <f>IF(OR(TEXT(V$13,"ddd")="Sun",V$13="",$D201=""),"",IF('Leave Planner'!T202="",1,0))</f>
        <v/>
      </c>
      <c r="W201" s="17" t="str">
        <f>IF(OR(TEXT(W$13,"ddd")="Sun",W$13="",$D201=""),"",IF('Leave Planner'!U202="",1,0))</f>
        <v/>
      </c>
      <c r="X201" s="17" t="str">
        <f>IF(OR(TEXT(X$13,"ddd")="Sun",X$13="",$D201=""),"",IF('Leave Planner'!V202="",1,0))</f>
        <v/>
      </c>
      <c r="Y201" s="17" t="str">
        <f>IF(OR(TEXT(Y$13,"ddd")="Sun",Y$13="",$D201=""),"",IF('Leave Planner'!W202="",1,0))</f>
        <v/>
      </c>
      <c r="Z201" s="17" t="str">
        <f>IF(OR(TEXT(Z$13,"ddd")="Sun",Z$13="",$D201=""),"",IF('Leave Planner'!X202="",1,0))</f>
        <v/>
      </c>
      <c r="AA201" s="17" t="str">
        <f>IF(OR(TEXT(AA$13,"ddd")="Sun",AA$13="",$D201=""),"",IF('Leave Planner'!Y202="",1,0))</f>
        <v/>
      </c>
      <c r="AB201" s="17" t="str">
        <f>IF(OR(TEXT(AB$13,"ddd")="Sun",AB$13="",$D201=""),"",IF('Leave Planner'!Z202="",1,0))</f>
        <v/>
      </c>
      <c r="AC201" s="17" t="str">
        <f>IF(OR(TEXT(AC$13,"ddd")="Sun",AC$13="",$D201=""),"",IF('Leave Planner'!AA202="",1,0))</f>
        <v/>
      </c>
      <c r="AD201" s="17" t="str">
        <f>IF(OR(TEXT(AD$13,"ddd")="Sun",AD$13="",$D201=""),"",IF('Leave Planner'!AB202="",1,0))</f>
        <v/>
      </c>
      <c r="AE201" s="17" t="str">
        <f>IF(OR(TEXT(AE$13,"ddd")="Sun",AE$13="",$D201=""),"",IF('Leave Planner'!AC202="",1,0))</f>
        <v/>
      </c>
      <c r="AF201" s="17" t="str">
        <f>IF(OR(TEXT(AF$13,"ddd")="Sun",AF$13="",$D201=""),"",IF('Leave Planner'!AD202="",1,0))</f>
        <v/>
      </c>
      <c r="AG201" s="17" t="str">
        <f>IF(OR(TEXT(AG$13,"ddd")="Sun",AG$13="",$D201=""),"",IF('Leave Planner'!AE202="",1,0))</f>
        <v/>
      </c>
      <c r="AH201" s="17" t="str">
        <f>IF(OR(TEXT(AH$13,"ddd")="Sun",AH$13="",$D201=""),"",IF('Leave Planner'!AF202="",1,0))</f>
        <v/>
      </c>
      <c r="AI201" s="17" t="str">
        <f>IF(OR(TEXT(AI$13,"ddd")="Sun",AI$13="",$D201=""),"",IF('Leave Planner'!AG202="",1,0))</f>
        <v/>
      </c>
      <c r="AJ201" s="17" t="str">
        <f>IF(OR(TEXT(AJ$13,"ddd")="Sun",AJ$13="",$D201=""),"",IF('Leave Planner'!AH202="",1,0))</f>
        <v/>
      </c>
    </row>
    <row r="202" spans="2:36" x14ac:dyDescent="0.75">
      <c r="B202" s="15"/>
      <c r="C202" s="22"/>
      <c r="D202" s="22"/>
      <c r="E202" s="42" t="str">
        <f t="shared" si="7"/>
        <v/>
      </c>
      <c r="F202" s="17" t="str">
        <f>IF(OR(TEXT(F$13,"ddd")="Sun",F$13="",$D202=""),"",IF('Leave Planner'!D203="",1,0))</f>
        <v/>
      </c>
      <c r="G202" s="17" t="str">
        <f>IF(OR(TEXT(G$13,"ddd")="Sun",G$13="",$D202=""),"",IF('Leave Planner'!E203="",1,0))</f>
        <v/>
      </c>
      <c r="H202" s="17" t="str">
        <f>IF(OR(TEXT(H$13,"ddd")="Sun",H$13="",$D202=""),"",IF('Leave Planner'!F203="",1,0))</f>
        <v/>
      </c>
      <c r="I202" s="17" t="str">
        <f>IF(OR(TEXT(I$13,"ddd")="Sun",I$13="",$D202=""),"",IF('Leave Planner'!G203="",1,0))</f>
        <v/>
      </c>
      <c r="J202" s="17" t="str">
        <f>IF(OR(TEXT(J$13,"ddd")="Sun",J$13="",$D202=""),"",IF('Leave Planner'!H203="",1,0))</f>
        <v/>
      </c>
      <c r="K202" s="17" t="str">
        <f>IF(OR(TEXT(K$13,"ddd")="Sun",K$13="",$D202=""),"",IF('Leave Planner'!I203="",1,0))</f>
        <v/>
      </c>
      <c r="L202" s="17" t="str">
        <f>IF(OR(TEXT(L$13,"ddd")="Sun",L$13="",$D202=""),"",IF('Leave Planner'!J203="",1,0))</f>
        <v/>
      </c>
      <c r="M202" s="17" t="str">
        <f>IF(OR(TEXT(M$13,"ddd")="Sun",M$13="",$D202=""),"",IF('Leave Planner'!K203="",1,0))</f>
        <v/>
      </c>
      <c r="N202" s="17" t="str">
        <f>IF(OR(TEXT(N$13,"ddd")="Sun",N$13="",$D202=""),"",IF('Leave Planner'!L203="",1,0))</f>
        <v/>
      </c>
      <c r="O202" s="17" t="str">
        <f>IF(OR(TEXT(O$13,"ddd")="Sun",O$13="",$D202=""),"",IF('Leave Planner'!M203="",1,0))</f>
        <v/>
      </c>
      <c r="P202" s="17" t="str">
        <f>IF(OR(TEXT(P$13,"ddd")="Sun",P$13="",$D202=""),"",IF('Leave Planner'!N203="",1,0))</f>
        <v/>
      </c>
      <c r="Q202" s="17" t="str">
        <f>IF(OR(TEXT(Q$13,"ddd")="Sun",Q$13="",$D202=""),"",IF('Leave Planner'!O203="",1,0))</f>
        <v/>
      </c>
      <c r="R202" s="17" t="str">
        <f>IF(OR(TEXT(R$13,"ddd")="Sun",R$13="",$D202=""),"",IF('Leave Planner'!P203="",1,0))</f>
        <v/>
      </c>
      <c r="S202" s="17" t="str">
        <f>IF(OR(TEXT(S$13,"ddd")="Sun",S$13="",$D202=""),"",IF('Leave Planner'!Q203="",1,0))</f>
        <v/>
      </c>
      <c r="T202" s="17" t="str">
        <f>IF(OR(TEXT(T$13,"ddd")="Sun",T$13="",$D202=""),"",IF('Leave Planner'!R203="",1,0))</f>
        <v/>
      </c>
      <c r="U202" s="17" t="str">
        <f>IF(OR(TEXT(U$13,"ddd")="Sun",U$13="",$D202=""),"",IF('Leave Planner'!S203="",1,0))</f>
        <v/>
      </c>
      <c r="V202" s="17" t="str">
        <f>IF(OR(TEXT(V$13,"ddd")="Sun",V$13="",$D202=""),"",IF('Leave Planner'!T203="",1,0))</f>
        <v/>
      </c>
      <c r="W202" s="17" t="str">
        <f>IF(OR(TEXT(W$13,"ddd")="Sun",W$13="",$D202=""),"",IF('Leave Planner'!U203="",1,0))</f>
        <v/>
      </c>
      <c r="X202" s="17" t="str">
        <f>IF(OR(TEXT(X$13,"ddd")="Sun",X$13="",$D202=""),"",IF('Leave Planner'!V203="",1,0))</f>
        <v/>
      </c>
      <c r="Y202" s="17" t="str">
        <f>IF(OR(TEXT(Y$13,"ddd")="Sun",Y$13="",$D202=""),"",IF('Leave Planner'!W203="",1,0))</f>
        <v/>
      </c>
      <c r="Z202" s="17" t="str">
        <f>IF(OR(TEXT(Z$13,"ddd")="Sun",Z$13="",$D202=""),"",IF('Leave Planner'!X203="",1,0))</f>
        <v/>
      </c>
      <c r="AA202" s="17" t="str">
        <f>IF(OR(TEXT(AA$13,"ddd")="Sun",AA$13="",$D202=""),"",IF('Leave Planner'!Y203="",1,0))</f>
        <v/>
      </c>
      <c r="AB202" s="17" t="str">
        <f>IF(OR(TEXT(AB$13,"ddd")="Sun",AB$13="",$D202=""),"",IF('Leave Planner'!Z203="",1,0))</f>
        <v/>
      </c>
      <c r="AC202" s="17" t="str">
        <f>IF(OR(TEXT(AC$13,"ddd")="Sun",AC$13="",$D202=""),"",IF('Leave Planner'!AA203="",1,0))</f>
        <v/>
      </c>
      <c r="AD202" s="17" t="str">
        <f>IF(OR(TEXT(AD$13,"ddd")="Sun",AD$13="",$D202=""),"",IF('Leave Planner'!AB203="",1,0))</f>
        <v/>
      </c>
      <c r="AE202" s="17" t="str">
        <f>IF(OR(TEXT(AE$13,"ddd")="Sun",AE$13="",$D202=""),"",IF('Leave Planner'!AC203="",1,0))</f>
        <v/>
      </c>
      <c r="AF202" s="17" t="str">
        <f>IF(OR(TEXT(AF$13,"ddd")="Sun",AF$13="",$D202=""),"",IF('Leave Planner'!AD203="",1,0))</f>
        <v/>
      </c>
      <c r="AG202" s="17" t="str">
        <f>IF(OR(TEXT(AG$13,"ddd")="Sun",AG$13="",$D202=""),"",IF('Leave Planner'!AE203="",1,0))</f>
        <v/>
      </c>
      <c r="AH202" s="17" t="str">
        <f>IF(OR(TEXT(AH$13,"ddd")="Sun",AH$13="",$D202=""),"",IF('Leave Planner'!AF203="",1,0))</f>
        <v/>
      </c>
      <c r="AI202" s="17" t="str">
        <f>IF(OR(TEXT(AI$13,"ddd")="Sun",AI$13="",$D202=""),"",IF('Leave Planner'!AG203="",1,0))</f>
        <v/>
      </c>
      <c r="AJ202" s="17" t="str">
        <f>IF(OR(TEXT(AJ$13,"ddd")="Sun",AJ$13="",$D202=""),"",IF('Leave Planner'!AH203="",1,0))</f>
        <v/>
      </c>
    </row>
    <row r="203" spans="2:36" x14ac:dyDescent="0.75">
      <c r="B203" s="15"/>
      <c r="C203" s="22"/>
      <c r="D203" s="22"/>
      <c r="E203" s="42" t="str">
        <f t="shared" si="7"/>
        <v/>
      </c>
      <c r="F203" s="17" t="str">
        <f>IF(OR(TEXT(F$13,"ddd")="Sun",F$13="",$D203=""),"",IF('Leave Planner'!D204="",1,0))</f>
        <v/>
      </c>
      <c r="G203" s="17" t="str">
        <f>IF(OR(TEXT(G$13,"ddd")="Sun",G$13="",$D203=""),"",IF('Leave Planner'!E204="",1,0))</f>
        <v/>
      </c>
      <c r="H203" s="17" t="str">
        <f>IF(OR(TEXT(H$13,"ddd")="Sun",H$13="",$D203=""),"",IF('Leave Planner'!F204="",1,0))</f>
        <v/>
      </c>
      <c r="I203" s="17" t="str">
        <f>IF(OR(TEXT(I$13,"ddd")="Sun",I$13="",$D203=""),"",IF('Leave Planner'!G204="",1,0))</f>
        <v/>
      </c>
      <c r="J203" s="17" t="str">
        <f>IF(OR(TEXT(J$13,"ddd")="Sun",J$13="",$D203=""),"",IF('Leave Planner'!H204="",1,0))</f>
        <v/>
      </c>
      <c r="K203" s="17" t="str">
        <f>IF(OR(TEXT(K$13,"ddd")="Sun",K$13="",$D203=""),"",IF('Leave Planner'!I204="",1,0))</f>
        <v/>
      </c>
      <c r="L203" s="17" t="str">
        <f>IF(OR(TEXT(L$13,"ddd")="Sun",L$13="",$D203=""),"",IF('Leave Planner'!J204="",1,0))</f>
        <v/>
      </c>
      <c r="M203" s="17" t="str">
        <f>IF(OR(TEXT(M$13,"ddd")="Sun",M$13="",$D203=""),"",IF('Leave Planner'!K204="",1,0))</f>
        <v/>
      </c>
      <c r="N203" s="17" t="str">
        <f>IF(OR(TEXT(N$13,"ddd")="Sun",N$13="",$D203=""),"",IF('Leave Planner'!L204="",1,0))</f>
        <v/>
      </c>
      <c r="O203" s="17" t="str">
        <f>IF(OR(TEXT(O$13,"ddd")="Sun",O$13="",$D203=""),"",IF('Leave Planner'!M204="",1,0))</f>
        <v/>
      </c>
      <c r="P203" s="17" t="str">
        <f>IF(OR(TEXT(P$13,"ddd")="Sun",P$13="",$D203=""),"",IF('Leave Planner'!N204="",1,0))</f>
        <v/>
      </c>
      <c r="Q203" s="17" t="str">
        <f>IF(OR(TEXT(Q$13,"ddd")="Sun",Q$13="",$D203=""),"",IF('Leave Planner'!O204="",1,0))</f>
        <v/>
      </c>
      <c r="R203" s="17" t="str">
        <f>IF(OR(TEXT(R$13,"ddd")="Sun",R$13="",$D203=""),"",IF('Leave Planner'!P204="",1,0))</f>
        <v/>
      </c>
      <c r="S203" s="17" t="str">
        <f>IF(OR(TEXT(S$13,"ddd")="Sun",S$13="",$D203=""),"",IF('Leave Planner'!Q204="",1,0))</f>
        <v/>
      </c>
      <c r="T203" s="17" t="str">
        <f>IF(OR(TEXT(T$13,"ddd")="Sun",T$13="",$D203=""),"",IF('Leave Planner'!R204="",1,0))</f>
        <v/>
      </c>
      <c r="U203" s="17" t="str">
        <f>IF(OR(TEXT(U$13,"ddd")="Sun",U$13="",$D203=""),"",IF('Leave Planner'!S204="",1,0))</f>
        <v/>
      </c>
      <c r="V203" s="17" t="str">
        <f>IF(OR(TEXT(V$13,"ddd")="Sun",V$13="",$D203=""),"",IF('Leave Planner'!T204="",1,0))</f>
        <v/>
      </c>
      <c r="W203" s="17" t="str">
        <f>IF(OR(TEXT(W$13,"ddd")="Sun",W$13="",$D203=""),"",IF('Leave Planner'!U204="",1,0))</f>
        <v/>
      </c>
      <c r="X203" s="17" t="str">
        <f>IF(OR(TEXT(X$13,"ddd")="Sun",X$13="",$D203=""),"",IF('Leave Planner'!V204="",1,0))</f>
        <v/>
      </c>
      <c r="Y203" s="17" t="str">
        <f>IF(OR(TEXT(Y$13,"ddd")="Sun",Y$13="",$D203=""),"",IF('Leave Planner'!W204="",1,0))</f>
        <v/>
      </c>
      <c r="Z203" s="17" t="str">
        <f>IF(OR(TEXT(Z$13,"ddd")="Sun",Z$13="",$D203=""),"",IF('Leave Planner'!X204="",1,0))</f>
        <v/>
      </c>
      <c r="AA203" s="17" t="str">
        <f>IF(OR(TEXT(AA$13,"ddd")="Sun",AA$13="",$D203=""),"",IF('Leave Planner'!Y204="",1,0))</f>
        <v/>
      </c>
      <c r="AB203" s="17" t="str">
        <f>IF(OR(TEXT(AB$13,"ddd")="Sun",AB$13="",$D203=""),"",IF('Leave Planner'!Z204="",1,0))</f>
        <v/>
      </c>
      <c r="AC203" s="17" t="str">
        <f>IF(OR(TEXT(AC$13,"ddd")="Sun",AC$13="",$D203=""),"",IF('Leave Planner'!AA204="",1,0))</f>
        <v/>
      </c>
      <c r="AD203" s="17" t="str">
        <f>IF(OR(TEXT(AD$13,"ddd")="Sun",AD$13="",$D203=""),"",IF('Leave Planner'!AB204="",1,0))</f>
        <v/>
      </c>
      <c r="AE203" s="17" t="str">
        <f>IF(OR(TEXT(AE$13,"ddd")="Sun",AE$13="",$D203=""),"",IF('Leave Planner'!AC204="",1,0))</f>
        <v/>
      </c>
      <c r="AF203" s="17" t="str">
        <f>IF(OR(TEXT(AF$13,"ddd")="Sun",AF$13="",$D203=""),"",IF('Leave Planner'!AD204="",1,0))</f>
        <v/>
      </c>
      <c r="AG203" s="17" t="str">
        <f>IF(OR(TEXT(AG$13,"ddd")="Sun",AG$13="",$D203=""),"",IF('Leave Planner'!AE204="",1,0))</f>
        <v/>
      </c>
      <c r="AH203" s="17" t="str">
        <f>IF(OR(TEXT(AH$13,"ddd")="Sun",AH$13="",$D203=""),"",IF('Leave Planner'!AF204="",1,0))</f>
        <v/>
      </c>
      <c r="AI203" s="17" t="str">
        <f>IF(OR(TEXT(AI$13,"ddd")="Sun",AI$13="",$D203=""),"",IF('Leave Planner'!AG204="",1,0))</f>
        <v/>
      </c>
      <c r="AJ203" s="17" t="str">
        <f>IF(OR(TEXT(AJ$13,"ddd")="Sun",AJ$13="",$D203=""),"",IF('Leave Planner'!AH204="",1,0))</f>
        <v/>
      </c>
    </row>
    <row r="204" spans="2:36" x14ac:dyDescent="0.75">
      <c r="B204" s="15"/>
      <c r="C204" s="22"/>
      <c r="D204" s="22"/>
      <c r="E204" s="42" t="str">
        <f t="shared" si="7"/>
        <v/>
      </c>
      <c r="F204" s="17" t="str">
        <f>IF(OR(TEXT(F$13,"ddd")="Sun",F$13="",$D204=""),"",IF('Leave Planner'!D205="",1,0))</f>
        <v/>
      </c>
      <c r="G204" s="17" t="str">
        <f>IF(OR(TEXT(G$13,"ddd")="Sun",G$13="",$D204=""),"",IF('Leave Planner'!E205="",1,0))</f>
        <v/>
      </c>
      <c r="H204" s="17" t="str">
        <f>IF(OR(TEXT(H$13,"ddd")="Sun",H$13="",$D204=""),"",IF('Leave Planner'!F205="",1,0))</f>
        <v/>
      </c>
      <c r="I204" s="17" t="str">
        <f>IF(OR(TEXT(I$13,"ddd")="Sun",I$13="",$D204=""),"",IF('Leave Planner'!G205="",1,0))</f>
        <v/>
      </c>
      <c r="J204" s="17" t="str">
        <f>IF(OR(TEXT(J$13,"ddd")="Sun",J$13="",$D204=""),"",IF('Leave Planner'!H205="",1,0))</f>
        <v/>
      </c>
      <c r="K204" s="17" t="str">
        <f>IF(OR(TEXT(K$13,"ddd")="Sun",K$13="",$D204=""),"",IF('Leave Planner'!I205="",1,0))</f>
        <v/>
      </c>
      <c r="L204" s="17" t="str">
        <f>IF(OR(TEXT(L$13,"ddd")="Sun",L$13="",$D204=""),"",IF('Leave Planner'!J205="",1,0))</f>
        <v/>
      </c>
      <c r="M204" s="17" t="str">
        <f>IF(OR(TEXT(M$13,"ddd")="Sun",M$13="",$D204=""),"",IF('Leave Planner'!K205="",1,0))</f>
        <v/>
      </c>
      <c r="N204" s="17" t="str">
        <f>IF(OR(TEXT(N$13,"ddd")="Sun",N$13="",$D204=""),"",IF('Leave Planner'!L205="",1,0))</f>
        <v/>
      </c>
      <c r="O204" s="17" t="str">
        <f>IF(OR(TEXT(O$13,"ddd")="Sun",O$13="",$D204=""),"",IF('Leave Planner'!M205="",1,0))</f>
        <v/>
      </c>
      <c r="P204" s="17" t="str">
        <f>IF(OR(TEXT(P$13,"ddd")="Sun",P$13="",$D204=""),"",IF('Leave Planner'!N205="",1,0))</f>
        <v/>
      </c>
      <c r="Q204" s="17" t="str">
        <f>IF(OR(TEXT(Q$13,"ddd")="Sun",Q$13="",$D204=""),"",IF('Leave Planner'!O205="",1,0))</f>
        <v/>
      </c>
      <c r="R204" s="17" t="str">
        <f>IF(OR(TEXT(R$13,"ddd")="Sun",R$13="",$D204=""),"",IF('Leave Planner'!P205="",1,0))</f>
        <v/>
      </c>
      <c r="S204" s="17" t="str">
        <f>IF(OR(TEXT(S$13,"ddd")="Sun",S$13="",$D204=""),"",IF('Leave Planner'!Q205="",1,0))</f>
        <v/>
      </c>
      <c r="T204" s="17" t="str">
        <f>IF(OR(TEXT(T$13,"ddd")="Sun",T$13="",$D204=""),"",IF('Leave Planner'!R205="",1,0))</f>
        <v/>
      </c>
      <c r="U204" s="17" t="str">
        <f>IF(OR(TEXT(U$13,"ddd")="Sun",U$13="",$D204=""),"",IF('Leave Planner'!S205="",1,0))</f>
        <v/>
      </c>
      <c r="V204" s="17" t="str">
        <f>IF(OR(TEXT(V$13,"ddd")="Sun",V$13="",$D204=""),"",IF('Leave Planner'!T205="",1,0))</f>
        <v/>
      </c>
      <c r="W204" s="17" t="str">
        <f>IF(OR(TEXT(W$13,"ddd")="Sun",W$13="",$D204=""),"",IF('Leave Planner'!U205="",1,0))</f>
        <v/>
      </c>
      <c r="X204" s="17" t="str">
        <f>IF(OR(TEXT(X$13,"ddd")="Sun",X$13="",$D204=""),"",IF('Leave Planner'!V205="",1,0))</f>
        <v/>
      </c>
      <c r="Y204" s="17" t="str">
        <f>IF(OR(TEXT(Y$13,"ddd")="Sun",Y$13="",$D204=""),"",IF('Leave Planner'!W205="",1,0))</f>
        <v/>
      </c>
      <c r="Z204" s="17" t="str">
        <f>IF(OR(TEXT(Z$13,"ddd")="Sun",Z$13="",$D204=""),"",IF('Leave Planner'!X205="",1,0))</f>
        <v/>
      </c>
      <c r="AA204" s="17" t="str">
        <f>IF(OR(TEXT(AA$13,"ddd")="Sun",AA$13="",$D204=""),"",IF('Leave Planner'!Y205="",1,0))</f>
        <v/>
      </c>
      <c r="AB204" s="17" t="str">
        <f>IF(OR(TEXT(AB$13,"ddd")="Sun",AB$13="",$D204=""),"",IF('Leave Planner'!Z205="",1,0))</f>
        <v/>
      </c>
      <c r="AC204" s="17" t="str">
        <f>IF(OR(TEXT(AC$13,"ddd")="Sun",AC$13="",$D204=""),"",IF('Leave Planner'!AA205="",1,0))</f>
        <v/>
      </c>
      <c r="AD204" s="17" t="str">
        <f>IF(OR(TEXT(AD$13,"ddd")="Sun",AD$13="",$D204=""),"",IF('Leave Planner'!AB205="",1,0))</f>
        <v/>
      </c>
      <c r="AE204" s="17" t="str">
        <f>IF(OR(TEXT(AE$13,"ddd")="Sun",AE$13="",$D204=""),"",IF('Leave Planner'!AC205="",1,0))</f>
        <v/>
      </c>
      <c r="AF204" s="17" t="str">
        <f>IF(OR(TEXT(AF$13,"ddd")="Sun",AF$13="",$D204=""),"",IF('Leave Planner'!AD205="",1,0))</f>
        <v/>
      </c>
      <c r="AG204" s="17" t="str">
        <f>IF(OR(TEXT(AG$13,"ddd")="Sun",AG$13="",$D204=""),"",IF('Leave Planner'!AE205="",1,0))</f>
        <v/>
      </c>
      <c r="AH204" s="17" t="str">
        <f>IF(OR(TEXT(AH$13,"ddd")="Sun",AH$13="",$D204=""),"",IF('Leave Planner'!AF205="",1,0))</f>
        <v/>
      </c>
      <c r="AI204" s="17" t="str">
        <f>IF(OR(TEXT(AI$13,"ddd")="Sun",AI$13="",$D204=""),"",IF('Leave Planner'!AG205="",1,0))</f>
        <v/>
      </c>
      <c r="AJ204" s="17" t="str">
        <f>IF(OR(TEXT(AJ$13,"ddd")="Sun",AJ$13="",$D204=""),"",IF('Leave Planner'!AH205="",1,0))</f>
        <v/>
      </c>
    </row>
    <row r="205" spans="2:36" x14ac:dyDescent="0.75">
      <c r="B205" s="15"/>
      <c r="C205" s="22"/>
      <c r="D205" s="22"/>
      <c r="E205" s="42" t="str">
        <f t="shared" si="7"/>
        <v/>
      </c>
      <c r="F205" s="17" t="str">
        <f>IF(OR(TEXT(F$13,"ddd")="Sun",F$13="",$D205=""),"",IF('Leave Planner'!D206="",1,0))</f>
        <v/>
      </c>
      <c r="G205" s="17" t="str">
        <f>IF(OR(TEXT(G$13,"ddd")="Sun",G$13="",$D205=""),"",IF('Leave Planner'!E206="",1,0))</f>
        <v/>
      </c>
      <c r="H205" s="17" t="str">
        <f>IF(OR(TEXT(H$13,"ddd")="Sun",H$13="",$D205=""),"",IF('Leave Planner'!F206="",1,0))</f>
        <v/>
      </c>
      <c r="I205" s="17" t="str">
        <f>IF(OR(TEXT(I$13,"ddd")="Sun",I$13="",$D205=""),"",IF('Leave Planner'!G206="",1,0))</f>
        <v/>
      </c>
      <c r="J205" s="17" t="str">
        <f>IF(OR(TEXT(J$13,"ddd")="Sun",J$13="",$D205=""),"",IF('Leave Planner'!H206="",1,0))</f>
        <v/>
      </c>
      <c r="K205" s="17" t="str">
        <f>IF(OR(TEXT(K$13,"ddd")="Sun",K$13="",$D205=""),"",IF('Leave Planner'!I206="",1,0))</f>
        <v/>
      </c>
      <c r="L205" s="17" t="str">
        <f>IF(OR(TEXT(L$13,"ddd")="Sun",L$13="",$D205=""),"",IF('Leave Planner'!J206="",1,0))</f>
        <v/>
      </c>
      <c r="M205" s="17" t="str">
        <f>IF(OR(TEXT(M$13,"ddd")="Sun",M$13="",$D205=""),"",IF('Leave Planner'!K206="",1,0))</f>
        <v/>
      </c>
      <c r="N205" s="17" t="str">
        <f>IF(OR(TEXT(N$13,"ddd")="Sun",N$13="",$D205=""),"",IF('Leave Planner'!L206="",1,0))</f>
        <v/>
      </c>
      <c r="O205" s="17" t="str">
        <f>IF(OR(TEXT(O$13,"ddd")="Sun",O$13="",$D205=""),"",IF('Leave Planner'!M206="",1,0))</f>
        <v/>
      </c>
      <c r="P205" s="17" t="str">
        <f>IF(OR(TEXT(P$13,"ddd")="Sun",P$13="",$D205=""),"",IF('Leave Planner'!N206="",1,0))</f>
        <v/>
      </c>
      <c r="Q205" s="17" t="str">
        <f>IF(OR(TEXT(Q$13,"ddd")="Sun",Q$13="",$D205=""),"",IF('Leave Planner'!O206="",1,0))</f>
        <v/>
      </c>
      <c r="R205" s="17" t="str">
        <f>IF(OR(TEXT(R$13,"ddd")="Sun",R$13="",$D205=""),"",IF('Leave Planner'!P206="",1,0))</f>
        <v/>
      </c>
      <c r="S205" s="17" t="str">
        <f>IF(OR(TEXT(S$13,"ddd")="Sun",S$13="",$D205=""),"",IF('Leave Planner'!Q206="",1,0))</f>
        <v/>
      </c>
      <c r="T205" s="17" t="str">
        <f>IF(OR(TEXT(T$13,"ddd")="Sun",T$13="",$D205=""),"",IF('Leave Planner'!R206="",1,0))</f>
        <v/>
      </c>
      <c r="U205" s="17" t="str">
        <f>IF(OR(TEXT(U$13,"ddd")="Sun",U$13="",$D205=""),"",IF('Leave Planner'!S206="",1,0))</f>
        <v/>
      </c>
      <c r="V205" s="17" t="str">
        <f>IF(OR(TEXT(V$13,"ddd")="Sun",V$13="",$D205=""),"",IF('Leave Planner'!T206="",1,0))</f>
        <v/>
      </c>
      <c r="W205" s="17" t="str">
        <f>IF(OR(TEXT(W$13,"ddd")="Sun",W$13="",$D205=""),"",IF('Leave Planner'!U206="",1,0))</f>
        <v/>
      </c>
      <c r="X205" s="17" t="str">
        <f>IF(OR(TEXT(X$13,"ddd")="Sun",X$13="",$D205=""),"",IF('Leave Planner'!V206="",1,0))</f>
        <v/>
      </c>
      <c r="Y205" s="17" t="str">
        <f>IF(OR(TEXT(Y$13,"ddd")="Sun",Y$13="",$D205=""),"",IF('Leave Planner'!W206="",1,0))</f>
        <v/>
      </c>
      <c r="Z205" s="17" t="str">
        <f>IF(OR(TEXT(Z$13,"ddd")="Sun",Z$13="",$D205=""),"",IF('Leave Planner'!X206="",1,0))</f>
        <v/>
      </c>
      <c r="AA205" s="17" t="str">
        <f>IF(OR(TEXT(AA$13,"ddd")="Sun",AA$13="",$D205=""),"",IF('Leave Planner'!Y206="",1,0))</f>
        <v/>
      </c>
      <c r="AB205" s="17" t="str">
        <f>IF(OR(TEXT(AB$13,"ddd")="Sun",AB$13="",$D205=""),"",IF('Leave Planner'!Z206="",1,0))</f>
        <v/>
      </c>
      <c r="AC205" s="17" t="str">
        <f>IF(OR(TEXT(AC$13,"ddd")="Sun",AC$13="",$D205=""),"",IF('Leave Planner'!AA206="",1,0))</f>
        <v/>
      </c>
      <c r="AD205" s="17" t="str">
        <f>IF(OR(TEXT(AD$13,"ddd")="Sun",AD$13="",$D205=""),"",IF('Leave Planner'!AB206="",1,0))</f>
        <v/>
      </c>
      <c r="AE205" s="17" t="str">
        <f>IF(OR(TEXT(AE$13,"ddd")="Sun",AE$13="",$D205=""),"",IF('Leave Planner'!AC206="",1,0))</f>
        <v/>
      </c>
      <c r="AF205" s="17" t="str">
        <f>IF(OR(TEXT(AF$13,"ddd")="Sun",AF$13="",$D205=""),"",IF('Leave Planner'!AD206="",1,0))</f>
        <v/>
      </c>
      <c r="AG205" s="17" t="str">
        <f>IF(OR(TEXT(AG$13,"ddd")="Sun",AG$13="",$D205=""),"",IF('Leave Planner'!AE206="",1,0))</f>
        <v/>
      </c>
      <c r="AH205" s="17" t="str">
        <f>IF(OR(TEXT(AH$13,"ddd")="Sun",AH$13="",$D205=""),"",IF('Leave Planner'!AF206="",1,0))</f>
        <v/>
      </c>
      <c r="AI205" s="17" t="str">
        <f>IF(OR(TEXT(AI$13,"ddd")="Sun",AI$13="",$D205=""),"",IF('Leave Planner'!AG206="",1,0))</f>
        <v/>
      </c>
      <c r="AJ205" s="17" t="str">
        <f>IF(OR(TEXT(AJ$13,"ddd")="Sun",AJ$13="",$D205=""),"",IF('Leave Planner'!AH206="",1,0))</f>
        <v/>
      </c>
    </row>
    <row r="206" spans="2:36" x14ac:dyDescent="0.75">
      <c r="B206" s="15"/>
      <c r="C206" s="22"/>
      <c r="D206" s="22"/>
      <c r="E206" s="42" t="str">
        <f t="shared" si="7"/>
        <v/>
      </c>
      <c r="F206" s="17" t="str">
        <f>IF(OR(TEXT(F$13,"ddd")="Sun",F$13="",$D206=""),"",IF('Leave Planner'!D207="",1,0))</f>
        <v/>
      </c>
      <c r="G206" s="17" t="str">
        <f>IF(OR(TEXT(G$13,"ddd")="Sun",G$13="",$D206=""),"",IF('Leave Planner'!E207="",1,0))</f>
        <v/>
      </c>
      <c r="H206" s="17" t="str">
        <f>IF(OR(TEXT(H$13,"ddd")="Sun",H$13="",$D206=""),"",IF('Leave Planner'!F207="",1,0))</f>
        <v/>
      </c>
      <c r="I206" s="17" t="str">
        <f>IF(OR(TEXT(I$13,"ddd")="Sun",I$13="",$D206=""),"",IF('Leave Planner'!G207="",1,0))</f>
        <v/>
      </c>
      <c r="J206" s="17" t="str">
        <f>IF(OR(TEXT(J$13,"ddd")="Sun",J$13="",$D206=""),"",IF('Leave Planner'!H207="",1,0))</f>
        <v/>
      </c>
      <c r="K206" s="17" t="str">
        <f>IF(OR(TEXT(K$13,"ddd")="Sun",K$13="",$D206=""),"",IF('Leave Planner'!I207="",1,0))</f>
        <v/>
      </c>
      <c r="L206" s="17" t="str">
        <f>IF(OR(TEXT(L$13,"ddd")="Sun",L$13="",$D206=""),"",IF('Leave Planner'!J207="",1,0))</f>
        <v/>
      </c>
      <c r="M206" s="17" t="str">
        <f>IF(OR(TEXT(M$13,"ddd")="Sun",M$13="",$D206=""),"",IF('Leave Planner'!K207="",1,0))</f>
        <v/>
      </c>
      <c r="N206" s="17" t="str">
        <f>IF(OR(TEXT(N$13,"ddd")="Sun",N$13="",$D206=""),"",IF('Leave Planner'!L207="",1,0))</f>
        <v/>
      </c>
      <c r="O206" s="17" t="str">
        <f>IF(OR(TEXT(O$13,"ddd")="Sun",O$13="",$D206=""),"",IF('Leave Planner'!M207="",1,0))</f>
        <v/>
      </c>
      <c r="P206" s="17" t="str">
        <f>IF(OR(TEXT(P$13,"ddd")="Sun",P$13="",$D206=""),"",IF('Leave Planner'!N207="",1,0))</f>
        <v/>
      </c>
      <c r="Q206" s="17" t="str">
        <f>IF(OR(TEXT(Q$13,"ddd")="Sun",Q$13="",$D206=""),"",IF('Leave Planner'!O207="",1,0))</f>
        <v/>
      </c>
      <c r="R206" s="17" t="str">
        <f>IF(OR(TEXT(R$13,"ddd")="Sun",R$13="",$D206=""),"",IF('Leave Planner'!P207="",1,0))</f>
        <v/>
      </c>
      <c r="S206" s="17" t="str">
        <f>IF(OR(TEXT(S$13,"ddd")="Sun",S$13="",$D206=""),"",IF('Leave Planner'!Q207="",1,0))</f>
        <v/>
      </c>
      <c r="T206" s="17" t="str">
        <f>IF(OR(TEXT(T$13,"ddd")="Sun",T$13="",$D206=""),"",IF('Leave Planner'!R207="",1,0))</f>
        <v/>
      </c>
      <c r="U206" s="17" t="str">
        <f>IF(OR(TEXT(U$13,"ddd")="Sun",U$13="",$D206=""),"",IF('Leave Planner'!S207="",1,0))</f>
        <v/>
      </c>
      <c r="V206" s="17" t="str">
        <f>IF(OR(TEXT(V$13,"ddd")="Sun",V$13="",$D206=""),"",IF('Leave Planner'!T207="",1,0))</f>
        <v/>
      </c>
      <c r="W206" s="17" t="str">
        <f>IF(OR(TEXT(W$13,"ddd")="Sun",W$13="",$D206=""),"",IF('Leave Planner'!U207="",1,0))</f>
        <v/>
      </c>
      <c r="X206" s="17" t="str">
        <f>IF(OR(TEXT(X$13,"ddd")="Sun",X$13="",$D206=""),"",IF('Leave Planner'!V207="",1,0))</f>
        <v/>
      </c>
      <c r="Y206" s="17" t="str">
        <f>IF(OR(TEXT(Y$13,"ddd")="Sun",Y$13="",$D206=""),"",IF('Leave Planner'!W207="",1,0))</f>
        <v/>
      </c>
      <c r="Z206" s="17" t="str">
        <f>IF(OR(TEXT(Z$13,"ddd")="Sun",Z$13="",$D206=""),"",IF('Leave Planner'!X207="",1,0))</f>
        <v/>
      </c>
      <c r="AA206" s="17" t="str">
        <f>IF(OR(TEXT(AA$13,"ddd")="Sun",AA$13="",$D206=""),"",IF('Leave Planner'!Y207="",1,0))</f>
        <v/>
      </c>
      <c r="AB206" s="17" t="str">
        <f>IF(OR(TEXT(AB$13,"ddd")="Sun",AB$13="",$D206=""),"",IF('Leave Planner'!Z207="",1,0))</f>
        <v/>
      </c>
      <c r="AC206" s="17" t="str">
        <f>IF(OR(TEXT(AC$13,"ddd")="Sun",AC$13="",$D206=""),"",IF('Leave Planner'!AA207="",1,0))</f>
        <v/>
      </c>
      <c r="AD206" s="17" t="str">
        <f>IF(OR(TEXT(AD$13,"ddd")="Sun",AD$13="",$D206=""),"",IF('Leave Planner'!AB207="",1,0))</f>
        <v/>
      </c>
      <c r="AE206" s="17" t="str">
        <f>IF(OR(TEXT(AE$13,"ddd")="Sun",AE$13="",$D206=""),"",IF('Leave Planner'!AC207="",1,0))</f>
        <v/>
      </c>
      <c r="AF206" s="17" t="str">
        <f>IF(OR(TEXT(AF$13,"ddd")="Sun",AF$13="",$D206=""),"",IF('Leave Planner'!AD207="",1,0))</f>
        <v/>
      </c>
      <c r="AG206" s="17" t="str">
        <f>IF(OR(TEXT(AG$13,"ddd")="Sun",AG$13="",$D206=""),"",IF('Leave Planner'!AE207="",1,0))</f>
        <v/>
      </c>
      <c r="AH206" s="17" t="str">
        <f>IF(OR(TEXT(AH$13,"ddd")="Sun",AH$13="",$D206=""),"",IF('Leave Planner'!AF207="",1,0))</f>
        <v/>
      </c>
      <c r="AI206" s="17" t="str">
        <f>IF(OR(TEXT(AI$13,"ddd")="Sun",AI$13="",$D206=""),"",IF('Leave Planner'!AG207="",1,0))</f>
        <v/>
      </c>
      <c r="AJ206" s="17" t="str">
        <f>IF(OR(TEXT(AJ$13,"ddd")="Sun",AJ$13="",$D206=""),"",IF('Leave Planner'!AH207="",1,0))</f>
        <v/>
      </c>
    </row>
    <row r="207" spans="2:36" x14ac:dyDescent="0.75">
      <c r="B207" s="15"/>
      <c r="C207" s="22"/>
      <c r="D207" s="22"/>
      <c r="E207" s="42" t="str">
        <f t="shared" ref="E207:E270" si="8">IF(D207="","",COUNTIF(F207:AJ207,1))</f>
        <v/>
      </c>
      <c r="F207" s="17" t="str">
        <f>IF(OR(TEXT(F$13,"ddd")="Sun",F$13="",$D207=""),"",IF('Leave Planner'!D208="",1,0))</f>
        <v/>
      </c>
      <c r="G207" s="17" t="str">
        <f>IF(OR(TEXT(G$13,"ddd")="Sun",G$13="",$D207=""),"",IF('Leave Planner'!E208="",1,0))</f>
        <v/>
      </c>
      <c r="H207" s="17" t="str">
        <f>IF(OR(TEXT(H$13,"ddd")="Sun",H$13="",$D207=""),"",IF('Leave Planner'!F208="",1,0))</f>
        <v/>
      </c>
      <c r="I207" s="17" t="str">
        <f>IF(OR(TEXT(I$13,"ddd")="Sun",I$13="",$D207=""),"",IF('Leave Planner'!G208="",1,0))</f>
        <v/>
      </c>
      <c r="J207" s="17" t="str">
        <f>IF(OR(TEXT(J$13,"ddd")="Sun",J$13="",$D207=""),"",IF('Leave Planner'!H208="",1,0))</f>
        <v/>
      </c>
      <c r="K207" s="17" t="str">
        <f>IF(OR(TEXT(K$13,"ddd")="Sun",K$13="",$D207=""),"",IF('Leave Planner'!I208="",1,0))</f>
        <v/>
      </c>
      <c r="L207" s="17" t="str">
        <f>IF(OR(TEXT(L$13,"ddd")="Sun",L$13="",$D207=""),"",IF('Leave Planner'!J208="",1,0))</f>
        <v/>
      </c>
      <c r="M207" s="17" t="str">
        <f>IF(OR(TEXT(M$13,"ddd")="Sun",M$13="",$D207=""),"",IF('Leave Planner'!K208="",1,0))</f>
        <v/>
      </c>
      <c r="N207" s="17" t="str">
        <f>IF(OR(TEXT(N$13,"ddd")="Sun",N$13="",$D207=""),"",IF('Leave Planner'!L208="",1,0))</f>
        <v/>
      </c>
      <c r="O207" s="17" t="str">
        <f>IF(OR(TEXT(O$13,"ddd")="Sun",O$13="",$D207=""),"",IF('Leave Planner'!M208="",1,0))</f>
        <v/>
      </c>
      <c r="P207" s="17" t="str">
        <f>IF(OR(TEXT(P$13,"ddd")="Sun",P$13="",$D207=""),"",IF('Leave Planner'!N208="",1,0))</f>
        <v/>
      </c>
      <c r="Q207" s="17" t="str">
        <f>IF(OR(TEXT(Q$13,"ddd")="Sun",Q$13="",$D207=""),"",IF('Leave Planner'!O208="",1,0))</f>
        <v/>
      </c>
      <c r="R207" s="17" t="str">
        <f>IF(OR(TEXT(R$13,"ddd")="Sun",R$13="",$D207=""),"",IF('Leave Planner'!P208="",1,0))</f>
        <v/>
      </c>
      <c r="S207" s="17" t="str">
        <f>IF(OR(TEXT(S$13,"ddd")="Sun",S$13="",$D207=""),"",IF('Leave Planner'!Q208="",1,0))</f>
        <v/>
      </c>
      <c r="T207" s="17" t="str">
        <f>IF(OR(TEXT(T$13,"ddd")="Sun",T$13="",$D207=""),"",IF('Leave Planner'!R208="",1,0))</f>
        <v/>
      </c>
      <c r="U207" s="17" t="str">
        <f>IF(OR(TEXT(U$13,"ddd")="Sun",U$13="",$D207=""),"",IF('Leave Planner'!S208="",1,0))</f>
        <v/>
      </c>
      <c r="V207" s="17" t="str">
        <f>IF(OR(TEXT(V$13,"ddd")="Sun",V$13="",$D207=""),"",IF('Leave Planner'!T208="",1,0))</f>
        <v/>
      </c>
      <c r="W207" s="17" t="str">
        <f>IF(OR(TEXT(W$13,"ddd")="Sun",W$13="",$D207=""),"",IF('Leave Planner'!U208="",1,0))</f>
        <v/>
      </c>
      <c r="X207" s="17" t="str">
        <f>IF(OR(TEXT(X$13,"ddd")="Sun",X$13="",$D207=""),"",IF('Leave Planner'!V208="",1,0))</f>
        <v/>
      </c>
      <c r="Y207" s="17" t="str">
        <f>IF(OR(TEXT(Y$13,"ddd")="Sun",Y$13="",$D207=""),"",IF('Leave Planner'!W208="",1,0))</f>
        <v/>
      </c>
      <c r="Z207" s="17" t="str">
        <f>IF(OR(TEXT(Z$13,"ddd")="Sun",Z$13="",$D207=""),"",IF('Leave Planner'!X208="",1,0))</f>
        <v/>
      </c>
      <c r="AA207" s="17" t="str">
        <f>IF(OR(TEXT(AA$13,"ddd")="Sun",AA$13="",$D207=""),"",IF('Leave Planner'!Y208="",1,0))</f>
        <v/>
      </c>
      <c r="AB207" s="17" t="str">
        <f>IF(OR(TEXT(AB$13,"ddd")="Sun",AB$13="",$D207=""),"",IF('Leave Planner'!Z208="",1,0))</f>
        <v/>
      </c>
      <c r="AC207" s="17" t="str">
        <f>IF(OR(TEXT(AC$13,"ddd")="Sun",AC$13="",$D207=""),"",IF('Leave Planner'!AA208="",1,0))</f>
        <v/>
      </c>
      <c r="AD207" s="17" t="str">
        <f>IF(OR(TEXT(AD$13,"ddd")="Sun",AD$13="",$D207=""),"",IF('Leave Planner'!AB208="",1,0))</f>
        <v/>
      </c>
      <c r="AE207" s="17" t="str">
        <f>IF(OR(TEXT(AE$13,"ddd")="Sun",AE$13="",$D207=""),"",IF('Leave Planner'!AC208="",1,0))</f>
        <v/>
      </c>
      <c r="AF207" s="17" t="str">
        <f>IF(OR(TEXT(AF$13,"ddd")="Sun",AF$13="",$D207=""),"",IF('Leave Planner'!AD208="",1,0))</f>
        <v/>
      </c>
      <c r="AG207" s="17" t="str">
        <f>IF(OR(TEXT(AG$13,"ddd")="Sun",AG$13="",$D207=""),"",IF('Leave Planner'!AE208="",1,0))</f>
        <v/>
      </c>
      <c r="AH207" s="17" t="str">
        <f>IF(OR(TEXT(AH$13,"ddd")="Sun",AH$13="",$D207=""),"",IF('Leave Planner'!AF208="",1,0))</f>
        <v/>
      </c>
      <c r="AI207" s="17" t="str">
        <f>IF(OR(TEXT(AI$13,"ddd")="Sun",AI$13="",$D207=""),"",IF('Leave Planner'!AG208="",1,0))</f>
        <v/>
      </c>
      <c r="AJ207" s="17" t="str">
        <f>IF(OR(TEXT(AJ$13,"ddd")="Sun",AJ$13="",$D207=""),"",IF('Leave Planner'!AH208="",1,0))</f>
        <v/>
      </c>
    </row>
    <row r="208" spans="2:36" x14ac:dyDescent="0.75">
      <c r="B208" s="15"/>
      <c r="C208" s="22"/>
      <c r="D208" s="22"/>
      <c r="E208" s="42" t="str">
        <f t="shared" si="8"/>
        <v/>
      </c>
      <c r="F208" s="17" t="str">
        <f>IF(OR(TEXT(F$13,"ddd")="Sun",F$13="",$D208=""),"",IF('Leave Planner'!D209="",1,0))</f>
        <v/>
      </c>
      <c r="G208" s="17" t="str">
        <f>IF(OR(TEXT(G$13,"ddd")="Sun",G$13="",$D208=""),"",IF('Leave Planner'!E209="",1,0))</f>
        <v/>
      </c>
      <c r="H208" s="17" t="str">
        <f>IF(OR(TEXT(H$13,"ddd")="Sun",H$13="",$D208=""),"",IF('Leave Planner'!F209="",1,0))</f>
        <v/>
      </c>
      <c r="I208" s="17" t="str">
        <f>IF(OR(TEXT(I$13,"ddd")="Sun",I$13="",$D208=""),"",IF('Leave Planner'!G209="",1,0))</f>
        <v/>
      </c>
      <c r="J208" s="17" t="str">
        <f>IF(OR(TEXT(J$13,"ddd")="Sun",J$13="",$D208=""),"",IF('Leave Planner'!H209="",1,0))</f>
        <v/>
      </c>
      <c r="K208" s="17" t="str">
        <f>IF(OR(TEXT(K$13,"ddd")="Sun",K$13="",$D208=""),"",IF('Leave Planner'!I209="",1,0))</f>
        <v/>
      </c>
      <c r="L208" s="17" t="str">
        <f>IF(OR(TEXT(L$13,"ddd")="Sun",L$13="",$D208=""),"",IF('Leave Planner'!J209="",1,0))</f>
        <v/>
      </c>
      <c r="M208" s="17" t="str">
        <f>IF(OR(TEXT(M$13,"ddd")="Sun",M$13="",$D208=""),"",IF('Leave Planner'!K209="",1,0))</f>
        <v/>
      </c>
      <c r="N208" s="17" t="str">
        <f>IF(OR(TEXT(N$13,"ddd")="Sun",N$13="",$D208=""),"",IF('Leave Planner'!L209="",1,0))</f>
        <v/>
      </c>
      <c r="O208" s="17" t="str">
        <f>IF(OR(TEXT(O$13,"ddd")="Sun",O$13="",$D208=""),"",IF('Leave Planner'!M209="",1,0))</f>
        <v/>
      </c>
      <c r="P208" s="17" t="str">
        <f>IF(OR(TEXT(P$13,"ddd")="Sun",P$13="",$D208=""),"",IF('Leave Planner'!N209="",1,0))</f>
        <v/>
      </c>
      <c r="Q208" s="17" t="str">
        <f>IF(OR(TEXT(Q$13,"ddd")="Sun",Q$13="",$D208=""),"",IF('Leave Planner'!O209="",1,0))</f>
        <v/>
      </c>
      <c r="R208" s="17" t="str">
        <f>IF(OR(TEXT(R$13,"ddd")="Sun",R$13="",$D208=""),"",IF('Leave Planner'!P209="",1,0))</f>
        <v/>
      </c>
      <c r="S208" s="17" t="str">
        <f>IF(OR(TEXT(S$13,"ddd")="Sun",S$13="",$D208=""),"",IF('Leave Planner'!Q209="",1,0))</f>
        <v/>
      </c>
      <c r="T208" s="17" t="str">
        <f>IF(OR(TEXT(T$13,"ddd")="Sun",T$13="",$D208=""),"",IF('Leave Planner'!R209="",1,0))</f>
        <v/>
      </c>
      <c r="U208" s="17" t="str">
        <f>IF(OR(TEXT(U$13,"ddd")="Sun",U$13="",$D208=""),"",IF('Leave Planner'!S209="",1,0))</f>
        <v/>
      </c>
      <c r="V208" s="17" t="str">
        <f>IF(OR(TEXT(V$13,"ddd")="Sun",V$13="",$D208=""),"",IF('Leave Planner'!T209="",1,0))</f>
        <v/>
      </c>
      <c r="W208" s="17" t="str">
        <f>IF(OR(TEXT(W$13,"ddd")="Sun",W$13="",$D208=""),"",IF('Leave Planner'!U209="",1,0))</f>
        <v/>
      </c>
      <c r="X208" s="17" t="str">
        <f>IF(OR(TEXT(X$13,"ddd")="Sun",X$13="",$D208=""),"",IF('Leave Planner'!V209="",1,0))</f>
        <v/>
      </c>
      <c r="Y208" s="17" t="str">
        <f>IF(OR(TEXT(Y$13,"ddd")="Sun",Y$13="",$D208=""),"",IF('Leave Planner'!W209="",1,0))</f>
        <v/>
      </c>
      <c r="Z208" s="17" t="str">
        <f>IF(OR(TEXT(Z$13,"ddd")="Sun",Z$13="",$D208=""),"",IF('Leave Planner'!X209="",1,0))</f>
        <v/>
      </c>
      <c r="AA208" s="17" t="str">
        <f>IF(OR(TEXT(AA$13,"ddd")="Sun",AA$13="",$D208=""),"",IF('Leave Planner'!Y209="",1,0))</f>
        <v/>
      </c>
      <c r="AB208" s="17" t="str">
        <f>IF(OR(TEXT(AB$13,"ddd")="Sun",AB$13="",$D208=""),"",IF('Leave Planner'!Z209="",1,0))</f>
        <v/>
      </c>
      <c r="AC208" s="17" t="str">
        <f>IF(OR(TEXT(AC$13,"ddd")="Sun",AC$13="",$D208=""),"",IF('Leave Planner'!AA209="",1,0))</f>
        <v/>
      </c>
      <c r="AD208" s="17" t="str">
        <f>IF(OR(TEXT(AD$13,"ddd")="Sun",AD$13="",$D208=""),"",IF('Leave Planner'!AB209="",1,0))</f>
        <v/>
      </c>
      <c r="AE208" s="17" t="str">
        <f>IF(OR(TEXT(AE$13,"ddd")="Sun",AE$13="",$D208=""),"",IF('Leave Planner'!AC209="",1,0))</f>
        <v/>
      </c>
      <c r="AF208" s="17" t="str">
        <f>IF(OR(TEXT(AF$13,"ddd")="Sun",AF$13="",$D208=""),"",IF('Leave Planner'!AD209="",1,0))</f>
        <v/>
      </c>
      <c r="AG208" s="17" t="str">
        <f>IF(OR(TEXT(AG$13,"ddd")="Sun",AG$13="",$D208=""),"",IF('Leave Planner'!AE209="",1,0))</f>
        <v/>
      </c>
      <c r="AH208" s="17" t="str">
        <f>IF(OR(TEXT(AH$13,"ddd")="Sun",AH$13="",$D208=""),"",IF('Leave Planner'!AF209="",1,0))</f>
        <v/>
      </c>
      <c r="AI208" s="17" t="str">
        <f>IF(OR(TEXT(AI$13,"ddd")="Sun",AI$13="",$D208=""),"",IF('Leave Planner'!AG209="",1,0))</f>
        <v/>
      </c>
      <c r="AJ208" s="17" t="str">
        <f>IF(OR(TEXT(AJ$13,"ddd")="Sun",AJ$13="",$D208=""),"",IF('Leave Planner'!AH209="",1,0))</f>
        <v/>
      </c>
    </row>
    <row r="209" spans="2:36" x14ac:dyDescent="0.75">
      <c r="B209" s="15"/>
      <c r="C209" s="22"/>
      <c r="D209" s="22"/>
      <c r="E209" s="42" t="str">
        <f t="shared" si="8"/>
        <v/>
      </c>
      <c r="F209" s="17" t="str">
        <f>IF(OR(TEXT(F$13,"ddd")="Sun",F$13="",$D209=""),"",IF('Leave Planner'!D210="",1,0))</f>
        <v/>
      </c>
      <c r="G209" s="17" t="str">
        <f>IF(OR(TEXT(G$13,"ddd")="Sun",G$13="",$D209=""),"",IF('Leave Planner'!E210="",1,0))</f>
        <v/>
      </c>
      <c r="H209" s="17" t="str">
        <f>IF(OR(TEXT(H$13,"ddd")="Sun",H$13="",$D209=""),"",IF('Leave Planner'!F210="",1,0))</f>
        <v/>
      </c>
      <c r="I209" s="17" t="str">
        <f>IF(OR(TEXT(I$13,"ddd")="Sun",I$13="",$D209=""),"",IF('Leave Planner'!G210="",1,0))</f>
        <v/>
      </c>
      <c r="J209" s="17" t="str">
        <f>IF(OR(TEXT(J$13,"ddd")="Sun",J$13="",$D209=""),"",IF('Leave Planner'!H210="",1,0))</f>
        <v/>
      </c>
      <c r="K209" s="17" t="str">
        <f>IF(OR(TEXT(K$13,"ddd")="Sun",K$13="",$D209=""),"",IF('Leave Planner'!I210="",1,0))</f>
        <v/>
      </c>
      <c r="L209" s="17" t="str">
        <f>IF(OR(TEXT(L$13,"ddd")="Sun",L$13="",$D209=""),"",IF('Leave Planner'!J210="",1,0))</f>
        <v/>
      </c>
      <c r="M209" s="17" t="str">
        <f>IF(OR(TEXT(M$13,"ddd")="Sun",M$13="",$D209=""),"",IF('Leave Planner'!K210="",1,0))</f>
        <v/>
      </c>
      <c r="N209" s="17" t="str">
        <f>IF(OR(TEXT(N$13,"ddd")="Sun",N$13="",$D209=""),"",IF('Leave Planner'!L210="",1,0))</f>
        <v/>
      </c>
      <c r="O209" s="17" t="str">
        <f>IF(OR(TEXT(O$13,"ddd")="Sun",O$13="",$D209=""),"",IF('Leave Planner'!M210="",1,0))</f>
        <v/>
      </c>
      <c r="P209" s="17" t="str">
        <f>IF(OR(TEXT(P$13,"ddd")="Sun",P$13="",$D209=""),"",IF('Leave Planner'!N210="",1,0))</f>
        <v/>
      </c>
      <c r="Q209" s="17" t="str">
        <f>IF(OR(TEXT(Q$13,"ddd")="Sun",Q$13="",$D209=""),"",IF('Leave Planner'!O210="",1,0))</f>
        <v/>
      </c>
      <c r="R209" s="17" t="str">
        <f>IF(OR(TEXT(R$13,"ddd")="Sun",R$13="",$D209=""),"",IF('Leave Planner'!P210="",1,0))</f>
        <v/>
      </c>
      <c r="S209" s="17" t="str">
        <f>IF(OR(TEXT(S$13,"ddd")="Sun",S$13="",$D209=""),"",IF('Leave Planner'!Q210="",1,0))</f>
        <v/>
      </c>
      <c r="T209" s="17" t="str">
        <f>IF(OR(TEXT(T$13,"ddd")="Sun",T$13="",$D209=""),"",IF('Leave Planner'!R210="",1,0))</f>
        <v/>
      </c>
      <c r="U209" s="17" t="str">
        <f>IF(OR(TEXT(U$13,"ddd")="Sun",U$13="",$D209=""),"",IF('Leave Planner'!S210="",1,0))</f>
        <v/>
      </c>
      <c r="V209" s="17" t="str">
        <f>IF(OR(TEXT(V$13,"ddd")="Sun",V$13="",$D209=""),"",IF('Leave Planner'!T210="",1,0))</f>
        <v/>
      </c>
      <c r="W209" s="17" t="str">
        <f>IF(OR(TEXT(W$13,"ddd")="Sun",W$13="",$D209=""),"",IF('Leave Planner'!U210="",1,0))</f>
        <v/>
      </c>
      <c r="X209" s="17" t="str">
        <f>IF(OR(TEXT(X$13,"ddd")="Sun",X$13="",$D209=""),"",IF('Leave Planner'!V210="",1,0))</f>
        <v/>
      </c>
      <c r="Y209" s="17" t="str">
        <f>IF(OR(TEXT(Y$13,"ddd")="Sun",Y$13="",$D209=""),"",IF('Leave Planner'!W210="",1,0))</f>
        <v/>
      </c>
      <c r="Z209" s="17" t="str">
        <f>IF(OR(TEXT(Z$13,"ddd")="Sun",Z$13="",$D209=""),"",IF('Leave Planner'!X210="",1,0))</f>
        <v/>
      </c>
      <c r="AA209" s="17" t="str">
        <f>IF(OR(TEXT(AA$13,"ddd")="Sun",AA$13="",$D209=""),"",IF('Leave Planner'!Y210="",1,0))</f>
        <v/>
      </c>
      <c r="AB209" s="17" t="str">
        <f>IF(OR(TEXT(AB$13,"ddd")="Sun",AB$13="",$D209=""),"",IF('Leave Planner'!Z210="",1,0))</f>
        <v/>
      </c>
      <c r="AC209" s="17" t="str">
        <f>IF(OR(TEXT(AC$13,"ddd")="Sun",AC$13="",$D209=""),"",IF('Leave Planner'!AA210="",1,0))</f>
        <v/>
      </c>
      <c r="AD209" s="17" t="str">
        <f>IF(OR(TEXT(AD$13,"ddd")="Sun",AD$13="",$D209=""),"",IF('Leave Planner'!AB210="",1,0))</f>
        <v/>
      </c>
      <c r="AE209" s="17" t="str">
        <f>IF(OR(TEXT(AE$13,"ddd")="Sun",AE$13="",$D209=""),"",IF('Leave Planner'!AC210="",1,0))</f>
        <v/>
      </c>
      <c r="AF209" s="17" t="str">
        <f>IF(OR(TEXT(AF$13,"ddd")="Sun",AF$13="",$D209=""),"",IF('Leave Planner'!AD210="",1,0))</f>
        <v/>
      </c>
      <c r="AG209" s="17" t="str">
        <f>IF(OR(TEXT(AG$13,"ddd")="Sun",AG$13="",$D209=""),"",IF('Leave Planner'!AE210="",1,0))</f>
        <v/>
      </c>
      <c r="AH209" s="17" t="str">
        <f>IF(OR(TEXT(AH$13,"ddd")="Sun",AH$13="",$D209=""),"",IF('Leave Planner'!AF210="",1,0))</f>
        <v/>
      </c>
      <c r="AI209" s="17" t="str">
        <f>IF(OR(TEXT(AI$13,"ddd")="Sun",AI$13="",$D209=""),"",IF('Leave Planner'!AG210="",1,0))</f>
        <v/>
      </c>
      <c r="AJ209" s="17" t="str">
        <f>IF(OR(TEXT(AJ$13,"ddd")="Sun",AJ$13="",$D209=""),"",IF('Leave Planner'!AH210="",1,0))</f>
        <v/>
      </c>
    </row>
    <row r="210" spans="2:36" x14ac:dyDescent="0.75">
      <c r="B210" s="15"/>
      <c r="C210" s="22"/>
      <c r="D210" s="22"/>
      <c r="E210" s="42" t="str">
        <f t="shared" si="8"/>
        <v/>
      </c>
      <c r="F210" s="17" t="str">
        <f>IF(OR(TEXT(F$13,"ddd")="Sun",F$13="",$D210=""),"",IF('Leave Planner'!D211="",1,0))</f>
        <v/>
      </c>
      <c r="G210" s="17" t="str">
        <f>IF(OR(TEXT(G$13,"ddd")="Sun",G$13="",$D210=""),"",IF('Leave Planner'!E211="",1,0))</f>
        <v/>
      </c>
      <c r="H210" s="17" t="str">
        <f>IF(OR(TEXT(H$13,"ddd")="Sun",H$13="",$D210=""),"",IF('Leave Planner'!F211="",1,0))</f>
        <v/>
      </c>
      <c r="I210" s="17" t="str">
        <f>IF(OR(TEXT(I$13,"ddd")="Sun",I$13="",$D210=""),"",IF('Leave Planner'!G211="",1,0))</f>
        <v/>
      </c>
      <c r="J210" s="17" t="str">
        <f>IF(OR(TEXT(J$13,"ddd")="Sun",J$13="",$D210=""),"",IF('Leave Planner'!H211="",1,0))</f>
        <v/>
      </c>
      <c r="K210" s="17" t="str">
        <f>IF(OR(TEXT(K$13,"ddd")="Sun",K$13="",$D210=""),"",IF('Leave Planner'!I211="",1,0))</f>
        <v/>
      </c>
      <c r="L210" s="17" t="str">
        <f>IF(OR(TEXT(L$13,"ddd")="Sun",L$13="",$D210=""),"",IF('Leave Planner'!J211="",1,0))</f>
        <v/>
      </c>
      <c r="M210" s="17" t="str">
        <f>IF(OR(TEXT(M$13,"ddd")="Sun",M$13="",$D210=""),"",IF('Leave Planner'!K211="",1,0))</f>
        <v/>
      </c>
      <c r="N210" s="17" t="str">
        <f>IF(OR(TEXT(N$13,"ddd")="Sun",N$13="",$D210=""),"",IF('Leave Planner'!L211="",1,0))</f>
        <v/>
      </c>
      <c r="O210" s="17" t="str">
        <f>IF(OR(TEXT(O$13,"ddd")="Sun",O$13="",$D210=""),"",IF('Leave Planner'!M211="",1,0))</f>
        <v/>
      </c>
      <c r="P210" s="17" t="str">
        <f>IF(OR(TEXT(P$13,"ddd")="Sun",P$13="",$D210=""),"",IF('Leave Planner'!N211="",1,0))</f>
        <v/>
      </c>
      <c r="Q210" s="17" t="str">
        <f>IF(OR(TEXT(Q$13,"ddd")="Sun",Q$13="",$D210=""),"",IF('Leave Planner'!O211="",1,0))</f>
        <v/>
      </c>
      <c r="R210" s="17" t="str">
        <f>IF(OR(TEXT(R$13,"ddd")="Sun",R$13="",$D210=""),"",IF('Leave Planner'!P211="",1,0))</f>
        <v/>
      </c>
      <c r="S210" s="17" t="str">
        <f>IF(OR(TEXT(S$13,"ddd")="Sun",S$13="",$D210=""),"",IF('Leave Planner'!Q211="",1,0))</f>
        <v/>
      </c>
      <c r="T210" s="17" t="str">
        <f>IF(OR(TEXT(T$13,"ddd")="Sun",T$13="",$D210=""),"",IF('Leave Planner'!R211="",1,0))</f>
        <v/>
      </c>
      <c r="U210" s="17" t="str">
        <f>IF(OR(TEXT(U$13,"ddd")="Sun",U$13="",$D210=""),"",IF('Leave Planner'!S211="",1,0))</f>
        <v/>
      </c>
      <c r="V210" s="17" t="str">
        <f>IF(OR(TEXT(V$13,"ddd")="Sun",V$13="",$D210=""),"",IF('Leave Planner'!T211="",1,0))</f>
        <v/>
      </c>
      <c r="W210" s="17" t="str">
        <f>IF(OR(TEXT(W$13,"ddd")="Sun",W$13="",$D210=""),"",IF('Leave Planner'!U211="",1,0))</f>
        <v/>
      </c>
      <c r="X210" s="17" t="str">
        <f>IF(OR(TEXT(X$13,"ddd")="Sun",X$13="",$D210=""),"",IF('Leave Planner'!V211="",1,0))</f>
        <v/>
      </c>
      <c r="Y210" s="17" t="str">
        <f>IF(OR(TEXT(Y$13,"ddd")="Sun",Y$13="",$D210=""),"",IF('Leave Planner'!W211="",1,0))</f>
        <v/>
      </c>
      <c r="Z210" s="17" t="str">
        <f>IF(OR(TEXT(Z$13,"ddd")="Sun",Z$13="",$D210=""),"",IF('Leave Planner'!X211="",1,0))</f>
        <v/>
      </c>
      <c r="AA210" s="17" t="str">
        <f>IF(OR(TEXT(AA$13,"ddd")="Sun",AA$13="",$D210=""),"",IF('Leave Planner'!Y211="",1,0))</f>
        <v/>
      </c>
      <c r="AB210" s="17" t="str">
        <f>IF(OR(TEXT(AB$13,"ddd")="Sun",AB$13="",$D210=""),"",IF('Leave Planner'!Z211="",1,0))</f>
        <v/>
      </c>
      <c r="AC210" s="17" t="str">
        <f>IF(OR(TEXT(AC$13,"ddd")="Sun",AC$13="",$D210=""),"",IF('Leave Planner'!AA211="",1,0))</f>
        <v/>
      </c>
      <c r="AD210" s="17" t="str">
        <f>IF(OR(TEXT(AD$13,"ddd")="Sun",AD$13="",$D210=""),"",IF('Leave Planner'!AB211="",1,0))</f>
        <v/>
      </c>
      <c r="AE210" s="17" t="str">
        <f>IF(OR(TEXT(AE$13,"ddd")="Sun",AE$13="",$D210=""),"",IF('Leave Planner'!AC211="",1,0))</f>
        <v/>
      </c>
      <c r="AF210" s="17" t="str">
        <f>IF(OR(TEXT(AF$13,"ddd")="Sun",AF$13="",$D210=""),"",IF('Leave Planner'!AD211="",1,0))</f>
        <v/>
      </c>
      <c r="AG210" s="17" t="str">
        <f>IF(OR(TEXT(AG$13,"ddd")="Sun",AG$13="",$D210=""),"",IF('Leave Planner'!AE211="",1,0))</f>
        <v/>
      </c>
      <c r="AH210" s="17" t="str">
        <f>IF(OR(TEXT(AH$13,"ddd")="Sun",AH$13="",$D210=""),"",IF('Leave Planner'!AF211="",1,0))</f>
        <v/>
      </c>
      <c r="AI210" s="17" t="str">
        <f>IF(OR(TEXT(AI$13,"ddd")="Sun",AI$13="",$D210=""),"",IF('Leave Planner'!AG211="",1,0))</f>
        <v/>
      </c>
      <c r="AJ210" s="17" t="str">
        <f>IF(OR(TEXT(AJ$13,"ddd")="Sun",AJ$13="",$D210=""),"",IF('Leave Planner'!AH211="",1,0))</f>
        <v/>
      </c>
    </row>
    <row r="211" spans="2:36" x14ac:dyDescent="0.75">
      <c r="B211" s="15"/>
      <c r="C211" s="22"/>
      <c r="D211" s="22"/>
      <c r="E211" s="42" t="str">
        <f t="shared" si="8"/>
        <v/>
      </c>
      <c r="F211" s="17" t="str">
        <f>IF(OR(TEXT(F$13,"ddd")="Sun",F$13="",$D211=""),"",IF('Leave Planner'!D212="",1,0))</f>
        <v/>
      </c>
      <c r="G211" s="17" t="str">
        <f>IF(OR(TEXT(G$13,"ddd")="Sun",G$13="",$D211=""),"",IF('Leave Planner'!E212="",1,0))</f>
        <v/>
      </c>
      <c r="H211" s="17" t="str">
        <f>IF(OR(TEXT(H$13,"ddd")="Sun",H$13="",$D211=""),"",IF('Leave Planner'!F212="",1,0))</f>
        <v/>
      </c>
      <c r="I211" s="17" t="str">
        <f>IF(OR(TEXT(I$13,"ddd")="Sun",I$13="",$D211=""),"",IF('Leave Planner'!G212="",1,0))</f>
        <v/>
      </c>
      <c r="J211" s="17" t="str">
        <f>IF(OR(TEXT(J$13,"ddd")="Sun",J$13="",$D211=""),"",IF('Leave Planner'!H212="",1,0))</f>
        <v/>
      </c>
      <c r="K211" s="17" t="str">
        <f>IF(OR(TEXT(K$13,"ddd")="Sun",K$13="",$D211=""),"",IF('Leave Planner'!I212="",1,0))</f>
        <v/>
      </c>
      <c r="L211" s="17" t="str">
        <f>IF(OR(TEXT(L$13,"ddd")="Sun",L$13="",$D211=""),"",IF('Leave Planner'!J212="",1,0))</f>
        <v/>
      </c>
      <c r="M211" s="17" t="str">
        <f>IF(OR(TEXT(M$13,"ddd")="Sun",M$13="",$D211=""),"",IF('Leave Planner'!K212="",1,0))</f>
        <v/>
      </c>
      <c r="N211" s="17" t="str">
        <f>IF(OR(TEXT(N$13,"ddd")="Sun",N$13="",$D211=""),"",IF('Leave Planner'!L212="",1,0))</f>
        <v/>
      </c>
      <c r="O211" s="17" t="str">
        <f>IF(OR(TEXT(O$13,"ddd")="Sun",O$13="",$D211=""),"",IF('Leave Planner'!M212="",1,0))</f>
        <v/>
      </c>
      <c r="P211" s="17" t="str">
        <f>IF(OR(TEXT(P$13,"ddd")="Sun",P$13="",$D211=""),"",IF('Leave Planner'!N212="",1,0))</f>
        <v/>
      </c>
      <c r="Q211" s="17" t="str">
        <f>IF(OR(TEXT(Q$13,"ddd")="Sun",Q$13="",$D211=""),"",IF('Leave Planner'!O212="",1,0))</f>
        <v/>
      </c>
      <c r="R211" s="17" t="str">
        <f>IF(OR(TEXT(R$13,"ddd")="Sun",R$13="",$D211=""),"",IF('Leave Planner'!P212="",1,0))</f>
        <v/>
      </c>
      <c r="S211" s="17" t="str">
        <f>IF(OR(TEXT(S$13,"ddd")="Sun",S$13="",$D211=""),"",IF('Leave Planner'!Q212="",1,0))</f>
        <v/>
      </c>
      <c r="T211" s="17" t="str">
        <f>IF(OR(TEXT(T$13,"ddd")="Sun",T$13="",$D211=""),"",IF('Leave Planner'!R212="",1,0))</f>
        <v/>
      </c>
      <c r="U211" s="17" t="str">
        <f>IF(OR(TEXT(U$13,"ddd")="Sun",U$13="",$D211=""),"",IF('Leave Planner'!S212="",1,0))</f>
        <v/>
      </c>
      <c r="V211" s="17" t="str">
        <f>IF(OR(TEXT(V$13,"ddd")="Sun",V$13="",$D211=""),"",IF('Leave Planner'!T212="",1,0))</f>
        <v/>
      </c>
      <c r="W211" s="17" t="str">
        <f>IF(OR(TEXT(W$13,"ddd")="Sun",W$13="",$D211=""),"",IF('Leave Planner'!U212="",1,0))</f>
        <v/>
      </c>
      <c r="X211" s="17" t="str">
        <f>IF(OR(TEXT(X$13,"ddd")="Sun",X$13="",$D211=""),"",IF('Leave Planner'!V212="",1,0))</f>
        <v/>
      </c>
      <c r="Y211" s="17" t="str">
        <f>IF(OR(TEXT(Y$13,"ddd")="Sun",Y$13="",$D211=""),"",IF('Leave Planner'!W212="",1,0))</f>
        <v/>
      </c>
      <c r="Z211" s="17" t="str">
        <f>IF(OR(TEXT(Z$13,"ddd")="Sun",Z$13="",$D211=""),"",IF('Leave Planner'!X212="",1,0))</f>
        <v/>
      </c>
      <c r="AA211" s="17" t="str">
        <f>IF(OR(TEXT(AA$13,"ddd")="Sun",AA$13="",$D211=""),"",IF('Leave Planner'!Y212="",1,0))</f>
        <v/>
      </c>
      <c r="AB211" s="17" t="str">
        <f>IF(OR(TEXT(AB$13,"ddd")="Sun",AB$13="",$D211=""),"",IF('Leave Planner'!Z212="",1,0))</f>
        <v/>
      </c>
      <c r="AC211" s="17" t="str">
        <f>IF(OR(TEXT(AC$13,"ddd")="Sun",AC$13="",$D211=""),"",IF('Leave Planner'!AA212="",1,0))</f>
        <v/>
      </c>
      <c r="AD211" s="17" t="str">
        <f>IF(OR(TEXT(AD$13,"ddd")="Sun",AD$13="",$D211=""),"",IF('Leave Planner'!AB212="",1,0))</f>
        <v/>
      </c>
      <c r="AE211" s="17" t="str">
        <f>IF(OR(TEXT(AE$13,"ddd")="Sun",AE$13="",$D211=""),"",IF('Leave Planner'!AC212="",1,0))</f>
        <v/>
      </c>
      <c r="AF211" s="17" t="str">
        <f>IF(OR(TEXT(AF$13,"ddd")="Sun",AF$13="",$D211=""),"",IF('Leave Planner'!AD212="",1,0))</f>
        <v/>
      </c>
      <c r="AG211" s="17" t="str">
        <f>IF(OR(TEXT(AG$13,"ddd")="Sun",AG$13="",$D211=""),"",IF('Leave Planner'!AE212="",1,0))</f>
        <v/>
      </c>
      <c r="AH211" s="17" t="str">
        <f>IF(OR(TEXT(AH$13,"ddd")="Sun",AH$13="",$D211=""),"",IF('Leave Planner'!AF212="",1,0))</f>
        <v/>
      </c>
      <c r="AI211" s="17" t="str">
        <f>IF(OR(TEXT(AI$13,"ddd")="Sun",AI$13="",$D211=""),"",IF('Leave Planner'!AG212="",1,0))</f>
        <v/>
      </c>
      <c r="AJ211" s="17" t="str">
        <f>IF(OR(TEXT(AJ$13,"ddd")="Sun",AJ$13="",$D211=""),"",IF('Leave Planner'!AH212="",1,0))</f>
        <v/>
      </c>
    </row>
    <row r="212" spans="2:36" x14ac:dyDescent="0.75">
      <c r="B212" s="15"/>
      <c r="C212" s="22"/>
      <c r="D212" s="22"/>
      <c r="E212" s="42" t="str">
        <f t="shared" si="8"/>
        <v/>
      </c>
      <c r="F212" s="17" t="str">
        <f>IF(OR(TEXT(F$13,"ddd")="Sun",F$13="",$D212=""),"",IF('Leave Planner'!D213="",1,0))</f>
        <v/>
      </c>
      <c r="G212" s="17" t="str">
        <f>IF(OR(TEXT(G$13,"ddd")="Sun",G$13="",$D212=""),"",IF('Leave Planner'!E213="",1,0))</f>
        <v/>
      </c>
      <c r="H212" s="17" t="str">
        <f>IF(OR(TEXT(H$13,"ddd")="Sun",H$13="",$D212=""),"",IF('Leave Planner'!F213="",1,0))</f>
        <v/>
      </c>
      <c r="I212" s="17" t="str">
        <f>IF(OR(TEXT(I$13,"ddd")="Sun",I$13="",$D212=""),"",IF('Leave Planner'!G213="",1,0))</f>
        <v/>
      </c>
      <c r="J212" s="17" t="str">
        <f>IF(OR(TEXT(J$13,"ddd")="Sun",J$13="",$D212=""),"",IF('Leave Planner'!H213="",1,0))</f>
        <v/>
      </c>
      <c r="K212" s="17" t="str">
        <f>IF(OR(TEXT(K$13,"ddd")="Sun",K$13="",$D212=""),"",IF('Leave Planner'!I213="",1,0))</f>
        <v/>
      </c>
      <c r="L212" s="17" t="str">
        <f>IF(OR(TEXT(L$13,"ddd")="Sun",L$13="",$D212=""),"",IF('Leave Planner'!J213="",1,0))</f>
        <v/>
      </c>
      <c r="M212" s="17" t="str">
        <f>IF(OR(TEXT(M$13,"ddd")="Sun",M$13="",$D212=""),"",IF('Leave Planner'!K213="",1,0))</f>
        <v/>
      </c>
      <c r="N212" s="17" t="str">
        <f>IF(OR(TEXT(N$13,"ddd")="Sun",N$13="",$D212=""),"",IF('Leave Planner'!L213="",1,0))</f>
        <v/>
      </c>
      <c r="O212" s="17" t="str">
        <f>IF(OR(TEXT(O$13,"ddd")="Sun",O$13="",$D212=""),"",IF('Leave Planner'!M213="",1,0))</f>
        <v/>
      </c>
      <c r="P212" s="17" t="str">
        <f>IF(OR(TEXT(P$13,"ddd")="Sun",P$13="",$D212=""),"",IF('Leave Planner'!N213="",1,0))</f>
        <v/>
      </c>
      <c r="Q212" s="17" t="str">
        <f>IF(OR(TEXT(Q$13,"ddd")="Sun",Q$13="",$D212=""),"",IF('Leave Planner'!O213="",1,0))</f>
        <v/>
      </c>
      <c r="R212" s="17" t="str">
        <f>IF(OR(TEXT(R$13,"ddd")="Sun",R$13="",$D212=""),"",IF('Leave Planner'!P213="",1,0))</f>
        <v/>
      </c>
      <c r="S212" s="17" t="str">
        <f>IF(OR(TEXT(S$13,"ddd")="Sun",S$13="",$D212=""),"",IF('Leave Planner'!Q213="",1,0))</f>
        <v/>
      </c>
      <c r="T212" s="17" t="str">
        <f>IF(OR(TEXT(T$13,"ddd")="Sun",T$13="",$D212=""),"",IF('Leave Planner'!R213="",1,0))</f>
        <v/>
      </c>
      <c r="U212" s="17" t="str">
        <f>IF(OR(TEXT(U$13,"ddd")="Sun",U$13="",$D212=""),"",IF('Leave Planner'!S213="",1,0))</f>
        <v/>
      </c>
      <c r="V212" s="17" t="str">
        <f>IF(OR(TEXT(V$13,"ddd")="Sun",V$13="",$D212=""),"",IF('Leave Planner'!T213="",1,0))</f>
        <v/>
      </c>
      <c r="W212" s="17" t="str">
        <f>IF(OR(TEXT(W$13,"ddd")="Sun",W$13="",$D212=""),"",IF('Leave Planner'!U213="",1,0))</f>
        <v/>
      </c>
      <c r="X212" s="17" t="str">
        <f>IF(OR(TEXT(X$13,"ddd")="Sun",X$13="",$D212=""),"",IF('Leave Planner'!V213="",1,0))</f>
        <v/>
      </c>
      <c r="Y212" s="17" t="str">
        <f>IF(OR(TEXT(Y$13,"ddd")="Sun",Y$13="",$D212=""),"",IF('Leave Planner'!W213="",1,0))</f>
        <v/>
      </c>
      <c r="Z212" s="17" t="str">
        <f>IF(OR(TEXT(Z$13,"ddd")="Sun",Z$13="",$D212=""),"",IF('Leave Planner'!X213="",1,0))</f>
        <v/>
      </c>
      <c r="AA212" s="17" t="str">
        <f>IF(OR(TEXT(AA$13,"ddd")="Sun",AA$13="",$D212=""),"",IF('Leave Planner'!Y213="",1,0))</f>
        <v/>
      </c>
      <c r="AB212" s="17" t="str">
        <f>IF(OR(TEXT(AB$13,"ddd")="Sun",AB$13="",$D212=""),"",IF('Leave Planner'!Z213="",1,0))</f>
        <v/>
      </c>
      <c r="AC212" s="17" t="str">
        <f>IF(OR(TEXT(AC$13,"ddd")="Sun",AC$13="",$D212=""),"",IF('Leave Planner'!AA213="",1,0))</f>
        <v/>
      </c>
      <c r="AD212" s="17" t="str">
        <f>IF(OR(TEXT(AD$13,"ddd")="Sun",AD$13="",$D212=""),"",IF('Leave Planner'!AB213="",1,0))</f>
        <v/>
      </c>
      <c r="AE212" s="17" t="str">
        <f>IF(OR(TEXT(AE$13,"ddd")="Sun",AE$13="",$D212=""),"",IF('Leave Planner'!AC213="",1,0))</f>
        <v/>
      </c>
      <c r="AF212" s="17" t="str">
        <f>IF(OR(TEXT(AF$13,"ddd")="Sun",AF$13="",$D212=""),"",IF('Leave Planner'!AD213="",1,0))</f>
        <v/>
      </c>
      <c r="AG212" s="17" t="str">
        <f>IF(OR(TEXT(AG$13,"ddd")="Sun",AG$13="",$D212=""),"",IF('Leave Planner'!AE213="",1,0))</f>
        <v/>
      </c>
      <c r="AH212" s="17" t="str">
        <f>IF(OR(TEXT(AH$13,"ddd")="Sun",AH$13="",$D212=""),"",IF('Leave Planner'!AF213="",1,0))</f>
        <v/>
      </c>
      <c r="AI212" s="17" t="str">
        <f>IF(OR(TEXT(AI$13,"ddd")="Sun",AI$13="",$D212=""),"",IF('Leave Planner'!AG213="",1,0))</f>
        <v/>
      </c>
      <c r="AJ212" s="17" t="str">
        <f>IF(OR(TEXT(AJ$13,"ddd")="Sun",AJ$13="",$D212=""),"",IF('Leave Planner'!AH213="",1,0))</f>
        <v/>
      </c>
    </row>
    <row r="213" spans="2:36" x14ac:dyDescent="0.75">
      <c r="B213" s="15"/>
      <c r="C213" s="22"/>
      <c r="D213" s="22"/>
      <c r="E213" s="42" t="str">
        <f t="shared" si="8"/>
        <v/>
      </c>
      <c r="F213" s="17" t="str">
        <f>IF(OR(TEXT(F$13,"ddd")="Sun",F$13="",$D213=""),"",IF('Leave Planner'!D214="",1,0))</f>
        <v/>
      </c>
      <c r="G213" s="17" t="str">
        <f>IF(OR(TEXT(G$13,"ddd")="Sun",G$13="",$D213=""),"",IF('Leave Planner'!E214="",1,0))</f>
        <v/>
      </c>
      <c r="H213" s="17" t="str">
        <f>IF(OR(TEXT(H$13,"ddd")="Sun",H$13="",$D213=""),"",IF('Leave Planner'!F214="",1,0))</f>
        <v/>
      </c>
      <c r="I213" s="17" t="str">
        <f>IF(OR(TEXT(I$13,"ddd")="Sun",I$13="",$D213=""),"",IF('Leave Planner'!G214="",1,0))</f>
        <v/>
      </c>
      <c r="J213" s="17" t="str">
        <f>IF(OR(TEXT(J$13,"ddd")="Sun",J$13="",$D213=""),"",IF('Leave Planner'!H214="",1,0))</f>
        <v/>
      </c>
      <c r="K213" s="17" t="str">
        <f>IF(OR(TEXT(K$13,"ddd")="Sun",K$13="",$D213=""),"",IF('Leave Planner'!I214="",1,0))</f>
        <v/>
      </c>
      <c r="L213" s="17" t="str">
        <f>IF(OR(TEXT(L$13,"ddd")="Sun",L$13="",$D213=""),"",IF('Leave Planner'!J214="",1,0))</f>
        <v/>
      </c>
      <c r="M213" s="17" t="str">
        <f>IF(OR(TEXT(M$13,"ddd")="Sun",M$13="",$D213=""),"",IF('Leave Planner'!K214="",1,0))</f>
        <v/>
      </c>
      <c r="N213" s="17" t="str">
        <f>IF(OR(TEXT(N$13,"ddd")="Sun",N$13="",$D213=""),"",IF('Leave Planner'!L214="",1,0))</f>
        <v/>
      </c>
      <c r="O213" s="17" t="str">
        <f>IF(OR(TEXT(O$13,"ddd")="Sun",O$13="",$D213=""),"",IF('Leave Planner'!M214="",1,0))</f>
        <v/>
      </c>
      <c r="P213" s="17" t="str">
        <f>IF(OR(TEXT(P$13,"ddd")="Sun",P$13="",$D213=""),"",IF('Leave Planner'!N214="",1,0))</f>
        <v/>
      </c>
      <c r="Q213" s="17" t="str">
        <f>IF(OR(TEXT(Q$13,"ddd")="Sun",Q$13="",$D213=""),"",IF('Leave Planner'!O214="",1,0))</f>
        <v/>
      </c>
      <c r="R213" s="17" t="str">
        <f>IF(OR(TEXT(R$13,"ddd")="Sun",R$13="",$D213=""),"",IF('Leave Planner'!P214="",1,0))</f>
        <v/>
      </c>
      <c r="S213" s="17" t="str">
        <f>IF(OR(TEXT(S$13,"ddd")="Sun",S$13="",$D213=""),"",IF('Leave Planner'!Q214="",1,0))</f>
        <v/>
      </c>
      <c r="T213" s="17" t="str">
        <f>IF(OR(TEXT(T$13,"ddd")="Sun",T$13="",$D213=""),"",IF('Leave Planner'!R214="",1,0))</f>
        <v/>
      </c>
      <c r="U213" s="17" t="str">
        <f>IF(OR(TEXT(U$13,"ddd")="Sun",U$13="",$D213=""),"",IF('Leave Planner'!S214="",1,0))</f>
        <v/>
      </c>
      <c r="V213" s="17" t="str">
        <f>IF(OR(TEXT(V$13,"ddd")="Sun",V$13="",$D213=""),"",IF('Leave Planner'!T214="",1,0))</f>
        <v/>
      </c>
      <c r="W213" s="17" t="str">
        <f>IF(OR(TEXT(W$13,"ddd")="Sun",W$13="",$D213=""),"",IF('Leave Planner'!U214="",1,0))</f>
        <v/>
      </c>
      <c r="X213" s="17" t="str">
        <f>IF(OR(TEXT(X$13,"ddd")="Sun",X$13="",$D213=""),"",IF('Leave Planner'!V214="",1,0))</f>
        <v/>
      </c>
      <c r="Y213" s="17" t="str">
        <f>IF(OR(TEXT(Y$13,"ddd")="Sun",Y$13="",$D213=""),"",IF('Leave Planner'!W214="",1,0))</f>
        <v/>
      </c>
      <c r="Z213" s="17" t="str">
        <f>IF(OR(TEXT(Z$13,"ddd")="Sun",Z$13="",$D213=""),"",IF('Leave Planner'!X214="",1,0))</f>
        <v/>
      </c>
      <c r="AA213" s="17" t="str">
        <f>IF(OR(TEXT(AA$13,"ddd")="Sun",AA$13="",$D213=""),"",IF('Leave Planner'!Y214="",1,0))</f>
        <v/>
      </c>
      <c r="AB213" s="17" t="str">
        <f>IF(OR(TEXT(AB$13,"ddd")="Sun",AB$13="",$D213=""),"",IF('Leave Planner'!Z214="",1,0))</f>
        <v/>
      </c>
      <c r="AC213" s="17" t="str">
        <f>IF(OR(TEXT(AC$13,"ddd")="Sun",AC$13="",$D213=""),"",IF('Leave Planner'!AA214="",1,0))</f>
        <v/>
      </c>
      <c r="AD213" s="17" t="str">
        <f>IF(OR(TEXT(AD$13,"ddd")="Sun",AD$13="",$D213=""),"",IF('Leave Planner'!AB214="",1,0))</f>
        <v/>
      </c>
      <c r="AE213" s="17" t="str">
        <f>IF(OR(TEXT(AE$13,"ddd")="Sun",AE$13="",$D213=""),"",IF('Leave Planner'!AC214="",1,0))</f>
        <v/>
      </c>
      <c r="AF213" s="17" t="str">
        <f>IF(OR(TEXT(AF$13,"ddd")="Sun",AF$13="",$D213=""),"",IF('Leave Planner'!AD214="",1,0))</f>
        <v/>
      </c>
      <c r="AG213" s="17" t="str">
        <f>IF(OR(TEXT(AG$13,"ddd")="Sun",AG$13="",$D213=""),"",IF('Leave Planner'!AE214="",1,0))</f>
        <v/>
      </c>
      <c r="AH213" s="17" t="str">
        <f>IF(OR(TEXT(AH$13,"ddd")="Sun",AH$13="",$D213=""),"",IF('Leave Planner'!AF214="",1,0))</f>
        <v/>
      </c>
      <c r="AI213" s="17" t="str">
        <f>IF(OR(TEXT(AI$13,"ddd")="Sun",AI$13="",$D213=""),"",IF('Leave Planner'!AG214="",1,0))</f>
        <v/>
      </c>
      <c r="AJ213" s="17" t="str">
        <f>IF(OR(TEXT(AJ$13,"ddd")="Sun",AJ$13="",$D213=""),"",IF('Leave Planner'!AH214="",1,0))</f>
        <v/>
      </c>
    </row>
    <row r="214" spans="2:36" x14ac:dyDescent="0.75">
      <c r="B214" s="15"/>
      <c r="C214" s="22"/>
      <c r="D214" s="22"/>
      <c r="E214" s="42" t="str">
        <f t="shared" si="8"/>
        <v/>
      </c>
      <c r="F214" s="17" t="str">
        <f>IF(OR(TEXT(F$13,"ddd")="Sun",F$13="",$D214=""),"",IF('Leave Planner'!D215="",1,0))</f>
        <v/>
      </c>
      <c r="G214" s="17" t="str">
        <f>IF(OR(TEXT(G$13,"ddd")="Sun",G$13="",$D214=""),"",IF('Leave Planner'!E215="",1,0))</f>
        <v/>
      </c>
      <c r="H214" s="17" t="str">
        <f>IF(OR(TEXT(H$13,"ddd")="Sun",H$13="",$D214=""),"",IF('Leave Planner'!F215="",1,0))</f>
        <v/>
      </c>
      <c r="I214" s="17" t="str">
        <f>IF(OR(TEXT(I$13,"ddd")="Sun",I$13="",$D214=""),"",IF('Leave Planner'!G215="",1,0))</f>
        <v/>
      </c>
      <c r="J214" s="17" t="str">
        <f>IF(OR(TEXT(J$13,"ddd")="Sun",J$13="",$D214=""),"",IF('Leave Planner'!H215="",1,0))</f>
        <v/>
      </c>
      <c r="K214" s="17" t="str">
        <f>IF(OR(TEXT(K$13,"ddd")="Sun",K$13="",$D214=""),"",IF('Leave Planner'!I215="",1,0))</f>
        <v/>
      </c>
      <c r="L214" s="17" t="str">
        <f>IF(OR(TEXT(L$13,"ddd")="Sun",L$13="",$D214=""),"",IF('Leave Planner'!J215="",1,0))</f>
        <v/>
      </c>
      <c r="M214" s="17" t="str">
        <f>IF(OR(TEXT(M$13,"ddd")="Sun",M$13="",$D214=""),"",IF('Leave Planner'!K215="",1,0))</f>
        <v/>
      </c>
      <c r="N214" s="17" t="str">
        <f>IF(OR(TEXT(N$13,"ddd")="Sun",N$13="",$D214=""),"",IF('Leave Planner'!L215="",1,0))</f>
        <v/>
      </c>
      <c r="O214" s="17" t="str">
        <f>IF(OR(TEXT(O$13,"ddd")="Sun",O$13="",$D214=""),"",IF('Leave Planner'!M215="",1,0))</f>
        <v/>
      </c>
      <c r="P214" s="17" t="str">
        <f>IF(OR(TEXT(P$13,"ddd")="Sun",P$13="",$D214=""),"",IF('Leave Planner'!N215="",1,0))</f>
        <v/>
      </c>
      <c r="Q214" s="17" t="str">
        <f>IF(OR(TEXT(Q$13,"ddd")="Sun",Q$13="",$D214=""),"",IF('Leave Planner'!O215="",1,0))</f>
        <v/>
      </c>
      <c r="R214" s="17" t="str">
        <f>IF(OR(TEXT(R$13,"ddd")="Sun",R$13="",$D214=""),"",IF('Leave Planner'!P215="",1,0))</f>
        <v/>
      </c>
      <c r="S214" s="17" t="str">
        <f>IF(OR(TEXT(S$13,"ddd")="Sun",S$13="",$D214=""),"",IF('Leave Planner'!Q215="",1,0))</f>
        <v/>
      </c>
      <c r="T214" s="17" t="str">
        <f>IF(OR(TEXT(T$13,"ddd")="Sun",T$13="",$D214=""),"",IF('Leave Planner'!R215="",1,0))</f>
        <v/>
      </c>
      <c r="U214" s="17" t="str">
        <f>IF(OR(TEXT(U$13,"ddd")="Sun",U$13="",$D214=""),"",IF('Leave Planner'!S215="",1,0))</f>
        <v/>
      </c>
      <c r="V214" s="17" t="str">
        <f>IF(OR(TEXT(V$13,"ddd")="Sun",V$13="",$D214=""),"",IF('Leave Planner'!T215="",1,0))</f>
        <v/>
      </c>
      <c r="W214" s="17" t="str">
        <f>IF(OR(TEXT(W$13,"ddd")="Sun",W$13="",$D214=""),"",IF('Leave Planner'!U215="",1,0))</f>
        <v/>
      </c>
      <c r="X214" s="17" t="str">
        <f>IF(OR(TEXT(X$13,"ddd")="Sun",X$13="",$D214=""),"",IF('Leave Planner'!V215="",1,0))</f>
        <v/>
      </c>
      <c r="Y214" s="17" t="str">
        <f>IF(OR(TEXT(Y$13,"ddd")="Sun",Y$13="",$D214=""),"",IF('Leave Planner'!W215="",1,0))</f>
        <v/>
      </c>
      <c r="Z214" s="17" t="str">
        <f>IF(OR(TEXT(Z$13,"ddd")="Sun",Z$13="",$D214=""),"",IF('Leave Planner'!X215="",1,0))</f>
        <v/>
      </c>
      <c r="AA214" s="17" t="str">
        <f>IF(OR(TEXT(AA$13,"ddd")="Sun",AA$13="",$D214=""),"",IF('Leave Planner'!Y215="",1,0))</f>
        <v/>
      </c>
      <c r="AB214" s="17" t="str">
        <f>IF(OR(TEXT(AB$13,"ddd")="Sun",AB$13="",$D214=""),"",IF('Leave Planner'!Z215="",1,0))</f>
        <v/>
      </c>
      <c r="AC214" s="17" t="str">
        <f>IF(OR(TEXT(AC$13,"ddd")="Sun",AC$13="",$D214=""),"",IF('Leave Planner'!AA215="",1,0))</f>
        <v/>
      </c>
      <c r="AD214" s="17" t="str">
        <f>IF(OR(TEXT(AD$13,"ddd")="Sun",AD$13="",$D214=""),"",IF('Leave Planner'!AB215="",1,0))</f>
        <v/>
      </c>
      <c r="AE214" s="17" t="str">
        <f>IF(OR(TEXT(AE$13,"ddd")="Sun",AE$13="",$D214=""),"",IF('Leave Planner'!AC215="",1,0))</f>
        <v/>
      </c>
      <c r="AF214" s="17" t="str">
        <f>IF(OR(TEXT(AF$13,"ddd")="Sun",AF$13="",$D214=""),"",IF('Leave Planner'!AD215="",1,0))</f>
        <v/>
      </c>
      <c r="AG214" s="17" t="str">
        <f>IF(OR(TEXT(AG$13,"ddd")="Sun",AG$13="",$D214=""),"",IF('Leave Planner'!AE215="",1,0))</f>
        <v/>
      </c>
      <c r="AH214" s="17" t="str">
        <f>IF(OR(TEXT(AH$13,"ddd")="Sun",AH$13="",$D214=""),"",IF('Leave Planner'!AF215="",1,0))</f>
        <v/>
      </c>
      <c r="AI214" s="17" t="str">
        <f>IF(OR(TEXT(AI$13,"ddd")="Sun",AI$13="",$D214=""),"",IF('Leave Planner'!AG215="",1,0))</f>
        <v/>
      </c>
      <c r="AJ214" s="17" t="str">
        <f>IF(OR(TEXT(AJ$13,"ddd")="Sun",AJ$13="",$D214=""),"",IF('Leave Planner'!AH215="",1,0))</f>
        <v/>
      </c>
    </row>
    <row r="215" spans="2:36" x14ac:dyDescent="0.75">
      <c r="B215" s="15"/>
      <c r="C215" s="22"/>
      <c r="D215" s="22"/>
      <c r="E215" s="42" t="str">
        <f t="shared" si="8"/>
        <v/>
      </c>
      <c r="F215" s="17" t="str">
        <f>IF(OR(TEXT(F$13,"ddd")="Sun",F$13="",$D215=""),"",IF('Leave Planner'!D216="",1,0))</f>
        <v/>
      </c>
      <c r="G215" s="17" t="str">
        <f>IF(OR(TEXT(G$13,"ddd")="Sun",G$13="",$D215=""),"",IF('Leave Planner'!E216="",1,0))</f>
        <v/>
      </c>
      <c r="H215" s="17" t="str">
        <f>IF(OR(TEXT(H$13,"ddd")="Sun",H$13="",$D215=""),"",IF('Leave Planner'!F216="",1,0))</f>
        <v/>
      </c>
      <c r="I215" s="17" t="str">
        <f>IF(OR(TEXT(I$13,"ddd")="Sun",I$13="",$D215=""),"",IF('Leave Planner'!G216="",1,0))</f>
        <v/>
      </c>
      <c r="J215" s="17" t="str">
        <f>IF(OR(TEXT(J$13,"ddd")="Sun",J$13="",$D215=""),"",IF('Leave Planner'!H216="",1,0))</f>
        <v/>
      </c>
      <c r="K215" s="17" t="str">
        <f>IF(OR(TEXT(K$13,"ddd")="Sun",K$13="",$D215=""),"",IF('Leave Planner'!I216="",1,0))</f>
        <v/>
      </c>
      <c r="L215" s="17" t="str">
        <f>IF(OR(TEXT(L$13,"ddd")="Sun",L$13="",$D215=""),"",IF('Leave Planner'!J216="",1,0))</f>
        <v/>
      </c>
      <c r="M215" s="17" t="str">
        <f>IF(OR(TEXT(M$13,"ddd")="Sun",M$13="",$D215=""),"",IF('Leave Planner'!K216="",1,0))</f>
        <v/>
      </c>
      <c r="N215" s="17" t="str">
        <f>IF(OR(TEXT(N$13,"ddd")="Sun",N$13="",$D215=""),"",IF('Leave Planner'!L216="",1,0))</f>
        <v/>
      </c>
      <c r="O215" s="17" t="str">
        <f>IF(OR(TEXT(O$13,"ddd")="Sun",O$13="",$D215=""),"",IF('Leave Planner'!M216="",1,0))</f>
        <v/>
      </c>
      <c r="P215" s="17" t="str">
        <f>IF(OR(TEXT(P$13,"ddd")="Sun",P$13="",$D215=""),"",IF('Leave Planner'!N216="",1,0))</f>
        <v/>
      </c>
      <c r="Q215" s="17" t="str">
        <f>IF(OR(TEXT(Q$13,"ddd")="Sun",Q$13="",$D215=""),"",IF('Leave Planner'!O216="",1,0))</f>
        <v/>
      </c>
      <c r="R215" s="17" t="str">
        <f>IF(OR(TEXT(R$13,"ddd")="Sun",R$13="",$D215=""),"",IF('Leave Planner'!P216="",1,0))</f>
        <v/>
      </c>
      <c r="S215" s="17" t="str">
        <f>IF(OR(TEXT(S$13,"ddd")="Sun",S$13="",$D215=""),"",IF('Leave Planner'!Q216="",1,0))</f>
        <v/>
      </c>
      <c r="T215" s="17" t="str">
        <f>IF(OR(TEXT(T$13,"ddd")="Sun",T$13="",$D215=""),"",IF('Leave Planner'!R216="",1,0))</f>
        <v/>
      </c>
      <c r="U215" s="17" t="str">
        <f>IF(OR(TEXT(U$13,"ddd")="Sun",U$13="",$D215=""),"",IF('Leave Planner'!S216="",1,0))</f>
        <v/>
      </c>
      <c r="V215" s="17" t="str">
        <f>IF(OR(TEXT(V$13,"ddd")="Sun",V$13="",$D215=""),"",IF('Leave Planner'!T216="",1,0))</f>
        <v/>
      </c>
      <c r="W215" s="17" t="str">
        <f>IF(OR(TEXT(W$13,"ddd")="Sun",W$13="",$D215=""),"",IF('Leave Planner'!U216="",1,0))</f>
        <v/>
      </c>
      <c r="X215" s="17" t="str">
        <f>IF(OR(TEXT(X$13,"ddd")="Sun",X$13="",$D215=""),"",IF('Leave Planner'!V216="",1,0))</f>
        <v/>
      </c>
      <c r="Y215" s="17" t="str">
        <f>IF(OR(TEXT(Y$13,"ddd")="Sun",Y$13="",$D215=""),"",IF('Leave Planner'!W216="",1,0))</f>
        <v/>
      </c>
      <c r="Z215" s="17" t="str">
        <f>IF(OR(TEXT(Z$13,"ddd")="Sun",Z$13="",$D215=""),"",IF('Leave Planner'!X216="",1,0))</f>
        <v/>
      </c>
      <c r="AA215" s="17" t="str">
        <f>IF(OR(TEXT(AA$13,"ddd")="Sun",AA$13="",$D215=""),"",IF('Leave Planner'!Y216="",1,0))</f>
        <v/>
      </c>
      <c r="AB215" s="17" t="str">
        <f>IF(OR(TEXT(AB$13,"ddd")="Sun",AB$13="",$D215=""),"",IF('Leave Planner'!Z216="",1,0))</f>
        <v/>
      </c>
      <c r="AC215" s="17" t="str">
        <f>IF(OR(TEXT(AC$13,"ddd")="Sun",AC$13="",$D215=""),"",IF('Leave Planner'!AA216="",1,0))</f>
        <v/>
      </c>
      <c r="AD215" s="17" t="str">
        <f>IF(OR(TEXT(AD$13,"ddd")="Sun",AD$13="",$D215=""),"",IF('Leave Planner'!AB216="",1,0))</f>
        <v/>
      </c>
      <c r="AE215" s="17" t="str">
        <f>IF(OR(TEXT(AE$13,"ddd")="Sun",AE$13="",$D215=""),"",IF('Leave Planner'!AC216="",1,0))</f>
        <v/>
      </c>
      <c r="AF215" s="17" t="str">
        <f>IF(OR(TEXT(AF$13,"ddd")="Sun",AF$13="",$D215=""),"",IF('Leave Planner'!AD216="",1,0))</f>
        <v/>
      </c>
      <c r="AG215" s="17" t="str">
        <f>IF(OR(TEXT(AG$13,"ddd")="Sun",AG$13="",$D215=""),"",IF('Leave Planner'!AE216="",1,0))</f>
        <v/>
      </c>
      <c r="AH215" s="17" t="str">
        <f>IF(OR(TEXT(AH$13,"ddd")="Sun",AH$13="",$D215=""),"",IF('Leave Planner'!AF216="",1,0))</f>
        <v/>
      </c>
      <c r="AI215" s="17" t="str">
        <f>IF(OR(TEXT(AI$13,"ddd")="Sun",AI$13="",$D215=""),"",IF('Leave Planner'!AG216="",1,0))</f>
        <v/>
      </c>
      <c r="AJ215" s="17" t="str">
        <f>IF(OR(TEXT(AJ$13,"ddd")="Sun",AJ$13="",$D215=""),"",IF('Leave Planner'!AH216="",1,0))</f>
        <v/>
      </c>
    </row>
    <row r="216" spans="2:36" x14ac:dyDescent="0.75">
      <c r="B216" s="15"/>
      <c r="C216" s="22"/>
      <c r="D216" s="22"/>
      <c r="E216" s="42" t="str">
        <f t="shared" si="8"/>
        <v/>
      </c>
      <c r="F216" s="17" t="str">
        <f>IF(OR(TEXT(F$13,"ddd")="Sun",F$13="",$D216=""),"",IF('Leave Planner'!D217="",1,0))</f>
        <v/>
      </c>
      <c r="G216" s="17" t="str">
        <f>IF(OR(TEXT(G$13,"ddd")="Sun",G$13="",$D216=""),"",IF('Leave Planner'!E217="",1,0))</f>
        <v/>
      </c>
      <c r="H216" s="17" t="str">
        <f>IF(OR(TEXT(H$13,"ddd")="Sun",H$13="",$D216=""),"",IF('Leave Planner'!F217="",1,0))</f>
        <v/>
      </c>
      <c r="I216" s="17" t="str">
        <f>IF(OR(TEXT(I$13,"ddd")="Sun",I$13="",$D216=""),"",IF('Leave Planner'!G217="",1,0))</f>
        <v/>
      </c>
      <c r="J216" s="17" t="str">
        <f>IF(OR(TEXT(J$13,"ddd")="Sun",J$13="",$D216=""),"",IF('Leave Planner'!H217="",1,0))</f>
        <v/>
      </c>
      <c r="K216" s="17" t="str">
        <f>IF(OR(TEXT(K$13,"ddd")="Sun",K$13="",$D216=""),"",IF('Leave Planner'!I217="",1,0))</f>
        <v/>
      </c>
      <c r="L216" s="17" t="str">
        <f>IF(OR(TEXT(L$13,"ddd")="Sun",L$13="",$D216=""),"",IF('Leave Planner'!J217="",1,0))</f>
        <v/>
      </c>
      <c r="M216" s="17" t="str">
        <f>IF(OR(TEXT(M$13,"ddd")="Sun",M$13="",$D216=""),"",IF('Leave Planner'!K217="",1,0))</f>
        <v/>
      </c>
      <c r="N216" s="17" t="str">
        <f>IF(OR(TEXT(N$13,"ddd")="Sun",N$13="",$D216=""),"",IF('Leave Planner'!L217="",1,0))</f>
        <v/>
      </c>
      <c r="O216" s="17" t="str">
        <f>IF(OR(TEXT(O$13,"ddd")="Sun",O$13="",$D216=""),"",IF('Leave Planner'!M217="",1,0))</f>
        <v/>
      </c>
      <c r="P216" s="17" t="str">
        <f>IF(OR(TEXT(P$13,"ddd")="Sun",P$13="",$D216=""),"",IF('Leave Planner'!N217="",1,0))</f>
        <v/>
      </c>
      <c r="Q216" s="17" t="str">
        <f>IF(OR(TEXT(Q$13,"ddd")="Sun",Q$13="",$D216=""),"",IF('Leave Planner'!O217="",1,0))</f>
        <v/>
      </c>
      <c r="R216" s="17" t="str">
        <f>IF(OR(TEXT(R$13,"ddd")="Sun",R$13="",$D216=""),"",IF('Leave Planner'!P217="",1,0))</f>
        <v/>
      </c>
      <c r="S216" s="17" t="str">
        <f>IF(OR(TEXT(S$13,"ddd")="Sun",S$13="",$D216=""),"",IF('Leave Planner'!Q217="",1,0))</f>
        <v/>
      </c>
      <c r="T216" s="17" t="str">
        <f>IF(OR(TEXT(T$13,"ddd")="Sun",T$13="",$D216=""),"",IF('Leave Planner'!R217="",1,0))</f>
        <v/>
      </c>
      <c r="U216" s="17" t="str">
        <f>IF(OR(TEXT(U$13,"ddd")="Sun",U$13="",$D216=""),"",IF('Leave Planner'!S217="",1,0))</f>
        <v/>
      </c>
      <c r="V216" s="17" t="str">
        <f>IF(OR(TEXT(V$13,"ddd")="Sun",V$13="",$D216=""),"",IF('Leave Planner'!T217="",1,0))</f>
        <v/>
      </c>
      <c r="W216" s="17" t="str">
        <f>IF(OR(TEXT(W$13,"ddd")="Sun",W$13="",$D216=""),"",IF('Leave Planner'!U217="",1,0))</f>
        <v/>
      </c>
      <c r="X216" s="17" t="str">
        <f>IF(OR(TEXT(X$13,"ddd")="Sun",X$13="",$D216=""),"",IF('Leave Planner'!V217="",1,0))</f>
        <v/>
      </c>
      <c r="Y216" s="17" t="str">
        <f>IF(OR(TEXT(Y$13,"ddd")="Sun",Y$13="",$D216=""),"",IF('Leave Planner'!W217="",1,0))</f>
        <v/>
      </c>
      <c r="Z216" s="17" t="str">
        <f>IF(OR(TEXT(Z$13,"ddd")="Sun",Z$13="",$D216=""),"",IF('Leave Planner'!X217="",1,0))</f>
        <v/>
      </c>
      <c r="AA216" s="17" t="str">
        <f>IF(OR(TEXT(AA$13,"ddd")="Sun",AA$13="",$D216=""),"",IF('Leave Planner'!Y217="",1,0))</f>
        <v/>
      </c>
      <c r="AB216" s="17" t="str">
        <f>IF(OR(TEXT(AB$13,"ddd")="Sun",AB$13="",$D216=""),"",IF('Leave Planner'!Z217="",1,0))</f>
        <v/>
      </c>
      <c r="AC216" s="17" t="str">
        <f>IF(OR(TEXT(AC$13,"ddd")="Sun",AC$13="",$D216=""),"",IF('Leave Planner'!AA217="",1,0))</f>
        <v/>
      </c>
      <c r="AD216" s="17" t="str">
        <f>IF(OR(TEXT(AD$13,"ddd")="Sun",AD$13="",$D216=""),"",IF('Leave Planner'!AB217="",1,0))</f>
        <v/>
      </c>
      <c r="AE216" s="17" t="str">
        <f>IF(OR(TEXT(AE$13,"ddd")="Sun",AE$13="",$D216=""),"",IF('Leave Planner'!AC217="",1,0))</f>
        <v/>
      </c>
      <c r="AF216" s="17" t="str">
        <f>IF(OR(TEXT(AF$13,"ddd")="Sun",AF$13="",$D216=""),"",IF('Leave Planner'!AD217="",1,0))</f>
        <v/>
      </c>
      <c r="AG216" s="17" t="str">
        <f>IF(OR(TEXT(AG$13,"ddd")="Sun",AG$13="",$D216=""),"",IF('Leave Planner'!AE217="",1,0))</f>
        <v/>
      </c>
      <c r="AH216" s="17" t="str">
        <f>IF(OR(TEXT(AH$13,"ddd")="Sun",AH$13="",$D216=""),"",IF('Leave Planner'!AF217="",1,0))</f>
        <v/>
      </c>
      <c r="AI216" s="17" t="str">
        <f>IF(OR(TEXT(AI$13,"ddd")="Sun",AI$13="",$D216=""),"",IF('Leave Planner'!AG217="",1,0))</f>
        <v/>
      </c>
      <c r="AJ216" s="17" t="str">
        <f>IF(OR(TEXT(AJ$13,"ddd")="Sun",AJ$13="",$D216=""),"",IF('Leave Planner'!AH217="",1,0))</f>
        <v/>
      </c>
    </row>
    <row r="217" spans="2:36" x14ac:dyDescent="0.75">
      <c r="B217" s="15"/>
      <c r="C217" s="22"/>
      <c r="D217" s="22"/>
      <c r="E217" s="42" t="str">
        <f t="shared" si="8"/>
        <v/>
      </c>
      <c r="F217" s="17" t="str">
        <f>IF(OR(TEXT(F$13,"ddd")="Sun",F$13="",$D217=""),"",IF('Leave Planner'!D218="",1,0))</f>
        <v/>
      </c>
      <c r="G217" s="17" t="str">
        <f>IF(OR(TEXT(G$13,"ddd")="Sun",G$13="",$D217=""),"",IF('Leave Planner'!E218="",1,0))</f>
        <v/>
      </c>
      <c r="H217" s="17" t="str">
        <f>IF(OR(TEXT(H$13,"ddd")="Sun",H$13="",$D217=""),"",IF('Leave Planner'!F218="",1,0))</f>
        <v/>
      </c>
      <c r="I217" s="17" t="str">
        <f>IF(OR(TEXT(I$13,"ddd")="Sun",I$13="",$D217=""),"",IF('Leave Planner'!G218="",1,0))</f>
        <v/>
      </c>
      <c r="J217" s="17" t="str">
        <f>IF(OR(TEXT(J$13,"ddd")="Sun",J$13="",$D217=""),"",IF('Leave Planner'!H218="",1,0))</f>
        <v/>
      </c>
      <c r="K217" s="17" t="str">
        <f>IF(OR(TEXT(K$13,"ddd")="Sun",K$13="",$D217=""),"",IF('Leave Planner'!I218="",1,0))</f>
        <v/>
      </c>
      <c r="L217" s="17" t="str">
        <f>IF(OR(TEXT(L$13,"ddd")="Sun",L$13="",$D217=""),"",IF('Leave Planner'!J218="",1,0))</f>
        <v/>
      </c>
      <c r="M217" s="17" t="str">
        <f>IF(OR(TEXT(M$13,"ddd")="Sun",M$13="",$D217=""),"",IF('Leave Planner'!K218="",1,0))</f>
        <v/>
      </c>
      <c r="N217" s="17" t="str">
        <f>IF(OR(TEXT(N$13,"ddd")="Sun",N$13="",$D217=""),"",IF('Leave Planner'!L218="",1,0))</f>
        <v/>
      </c>
      <c r="O217" s="17" t="str">
        <f>IF(OR(TEXT(O$13,"ddd")="Sun",O$13="",$D217=""),"",IF('Leave Planner'!M218="",1,0))</f>
        <v/>
      </c>
      <c r="P217" s="17" t="str">
        <f>IF(OR(TEXT(P$13,"ddd")="Sun",P$13="",$D217=""),"",IF('Leave Planner'!N218="",1,0))</f>
        <v/>
      </c>
      <c r="Q217" s="17" t="str">
        <f>IF(OR(TEXT(Q$13,"ddd")="Sun",Q$13="",$D217=""),"",IF('Leave Planner'!O218="",1,0))</f>
        <v/>
      </c>
      <c r="R217" s="17" t="str">
        <f>IF(OR(TEXT(R$13,"ddd")="Sun",R$13="",$D217=""),"",IF('Leave Planner'!P218="",1,0))</f>
        <v/>
      </c>
      <c r="S217" s="17" t="str">
        <f>IF(OR(TEXT(S$13,"ddd")="Sun",S$13="",$D217=""),"",IF('Leave Planner'!Q218="",1,0))</f>
        <v/>
      </c>
      <c r="T217" s="17" t="str">
        <f>IF(OR(TEXT(T$13,"ddd")="Sun",T$13="",$D217=""),"",IF('Leave Planner'!R218="",1,0))</f>
        <v/>
      </c>
      <c r="U217" s="17" t="str">
        <f>IF(OR(TEXT(U$13,"ddd")="Sun",U$13="",$D217=""),"",IF('Leave Planner'!S218="",1,0))</f>
        <v/>
      </c>
      <c r="V217" s="17" t="str">
        <f>IF(OR(TEXT(V$13,"ddd")="Sun",V$13="",$D217=""),"",IF('Leave Planner'!T218="",1,0))</f>
        <v/>
      </c>
      <c r="W217" s="17" t="str">
        <f>IF(OR(TEXT(W$13,"ddd")="Sun",W$13="",$D217=""),"",IF('Leave Planner'!U218="",1,0))</f>
        <v/>
      </c>
      <c r="X217" s="17" t="str">
        <f>IF(OR(TEXT(X$13,"ddd")="Sun",X$13="",$D217=""),"",IF('Leave Planner'!V218="",1,0))</f>
        <v/>
      </c>
      <c r="Y217" s="17" t="str">
        <f>IF(OR(TEXT(Y$13,"ddd")="Sun",Y$13="",$D217=""),"",IF('Leave Planner'!W218="",1,0))</f>
        <v/>
      </c>
      <c r="Z217" s="17" t="str">
        <f>IF(OR(TEXT(Z$13,"ddd")="Sun",Z$13="",$D217=""),"",IF('Leave Planner'!X218="",1,0))</f>
        <v/>
      </c>
      <c r="AA217" s="17" t="str">
        <f>IF(OR(TEXT(AA$13,"ddd")="Sun",AA$13="",$D217=""),"",IF('Leave Planner'!Y218="",1,0))</f>
        <v/>
      </c>
      <c r="AB217" s="17" t="str">
        <f>IF(OR(TEXT(AB$13,"ddd")="Sun",AB$13="",$D217=""),"",IF('Leave Planner'!Z218="",1,0))</f>
        <v/>
      </c>
      <c r="AC217" s="17" t="str">
        <f>IF(OR(TEXT(AC$13,"ddd")="Sun",AC$13="",$D217=""),"",IF('Leave Planner'!AA218="",1,0))</f>
        <v/>
      </c>
      <c r="AD217" s="17" t="str">
        <f>IF(OR(TEXT(AD$13,"ddd")="Sun",AD$13="",$D217=""),"",IF('Leave Planner'!AB218="",1,0))</f>
        <v/>
      </c>
      <c r="AE217" s="17" t="str">
        <f>IF(OR(TEXT(AE$13,"ddd")="Sun",AE$13="",$D217=""),"",IF('Leave Planner'!AC218="",1,0))</f>
        <v/>
      </c>
      <c r="AF217" s="17" t="str">
        <f>IF(OR(TEXT(AF$13,"ddd")="Sun",AF$13="",$D217=""),"",IF('Leave Planner'!AD218="",1,0))</f>
        <v/>
      </c>
      <c r="AG217" s="17" t="str">
        <f>IF(OR(TEXT(AG$13,"ddd")="Sun",AG$13="",$D217=""),"",IF('Leave Planner'!AE218="",1,0))</f>
        <v/>
      </c>
      <c r="AH217" s="17" t="str">
        <f>IF(OR(TEXT(AH$13,"ddd")="Sun",AH$13="",$D217=""),"",IF('Leave Planner'!AF218="",1,0))</f>
        <v/>
      </c>
      <c r="AI217" s="17" t="str">
        <f>IF(OR(TEXT(AI$13,"ddd")="Sun",AI$13="",$D217=""),"",IF('Leave Planner'!AG218="",1,0))</f>
        <v/>
      </c>
      <c r="AJ217" s="17" t="str">
        <f>IF(OR(TEXT(AJ$13,"ddd")="Sun",AJ$13="",$D217=""),"",IF('Leave Planner'!AH218="",1,0))</f>
        <v/>
      </c>
    </row>
    <row r="218" spans="2:36" x14ac:dyDescent="0.75">
      <c r="B218" s="15"/>
      <c r="C218" s="22"/>
      <c r="D218" s="22"/>
      <c r="E218" s="42" t="str">
        <f t="shared" si="8"/>
        <v/>
      </c>
      <c r="F218" s="17" t="str">
        <f>IF(OR(TEXT(F$13,"ddd")="Sun",F$13="",$D218=""),"",IF('Leave Planner'!D219="",1,0))</f>
        <v/>
      </c>
      <c r="G218" s="17" t="str">
        <f>IF(OR(TEXT(G$13,"ddd")="Sun",G$13="",$D218=""),"",IF('Leave Planner'!E219="",1,0))</f>
        <v/>
      </c>
      <c r="H218" s="17" t="str">
        <f>IF(OR(TEXT(H$13,"ddd")="Sun",H$13="",$D218=""),"",IF('Leave Planner'!F219="",1,0))</f>
        <v/>
      </c>
      <c r="I218" s="17" t="str">
        <f>IF(OR(TEXT(I$13,"ddd")="Sun",I$13="",$D218=""),"",IF('Leave Planner'!G219="",1,0))</f>
        <v/>
      </c>
      <c r="J218" s="17" t="str">
        <f>IF(OR(TEXT(J$13,"ddd")="Sun",J$13="",$D218=""),"",IF('Leave Planner'!H219="",1,0))</f>
        <v/>
      </c>
      <c r="K218" s="17" t="str">
        <f>IF(OR(TEXT(K$13,"ddd")="Sun",K$13="",$D218=""),"",IF('Leave Planner'!I219="",1,0))</f>
        <v/>
      </c>
      <c r="L218" s="17" t="str">
        <f>IF(OR(TEXT(L$13,"ddd")="Sun",L$13="",$D218=""),"",IF('Leave Planner'!J219="",1,0))</f>
        <v/>
      </c>
      <c r="M218" s="17" t="str">
        <f>IF(OR(TEXT(M$13,"ddd")="Sun",M$13="",$D218=""),"",IF('Leave Planner'!K219="",1,0))</f>
        <v/>
      </c>
      <c r="N218" s="17" t="str">
        <f>IF(OR(TEXT(N$13,"ddd")="Sun",N$13="",$D218=""),"",IF('Leave Planner'!L219="",1,0))</f>
        <v/>
      </c>
      <c r="O218" s="17" t="str">
        <f>IF(OR(TEXT(O$13,"ddd")="Sun",O$13="",$D218=""),"",IF('Leave Planner'!M219="",1,0))</f>
        <v/>
      </c>
      <c r="P218" s="17" t="str">
        <f>IF(OR(TEXT(P$13,"ddd")="Sun",P$13="",$D218=""),"",IF('Leave Planner'!N219="",1,0))</f>
        <v/>
      </c>
      <c r="Q218" s="17" t="str">
        <f>IF(OR(TEXT(Q$13,"ddd")="Sun",Q$13="",$D218=""),"",IF('Leave Planner'!O219="",1,0))</f>
        <v/>
      </c>
      <c r="R218" s="17" t="str">
        <f>IF(OR(TEXT(R$13,"ddd")="Sun",R$13="",$D218=""),"",IF('Leave Planner'!P219="",1,0))</f>
        <v/>
      </c>
      <c r="S218" s="17" t="str">
        <f>IF(OR(TEXT(S$13,"ddd")="Sun",S$13="",$D218=""),"",IF('Leave Planner'!Q219="",1,0))</f>
        <v/>
      </c>
      <c r="T218" s="17" t="str">
        <f>IF(OR(TEXT(T$13,"ddd")="Sun",T$13="",$D218=""),"",IF('Leave Planner'!R219="",1,0))</f>
        <v/>
      </c>
      <c r="U218" s="17" t="str">
        <f>IF(OR(TEXT(U$13,"ddd")="Sun",U$13="",$D218=""),"",IF('Leave Planner'!S219="",1,0))</f>
        <v/>
      </c>
      <c r="V218" s="17" t="str">
        <f>IF(OR(TEXT(V$13,"ddd")="Sun",V$13="",$D218=""),"",IF('Leave Planner'!T219="",1,0))</f>
        <v/>
      </c>
      <c r="W218" s="17" t="str">
        <f>IF(OR(TEXT(W$13,"ddd")="Sun",W$13="",$D218=""),"",IF('Leave Planner'!U219="",1,0))</f>
        <v/>
      </c>
      <c r="X218" s="17" t="str">
        <f>IF(OR(TEXT(X$13,"ddd")="Sun",X$13="",$D218=""),"",IF('Leave Planner'!V219="",1,0))</f>
        <v/>
      </c>
      <c r="Y218" s="17" t="str">
        <f>IF(OR(TEXT(Y$13,"ddd")="Sun",Y$13="",$D218=""),"",IF('Leave Planner'!W219="",1,0))</f>
        <v/>
      </c>
      <c r="Z218" s="17" t="str">
        <f>IF(OR(TEXT(Z$13,"ddd")="Sun",Z$13="",$D218=""),"",IF('Leave Planner'!X219="",1,0))</f>
        <v/>
      </c>
      <c r="AA218" s="17" t="str">
        <f>IF(OR(TEXT(AA$13,"ddd")="Sun",AA$13="",$D218=""),"",IF('Leave Planner'!Y219="",1,0))</f>
        <v/>
      </c>
      <c r="AB218" s="17" t="str">
        <f>IF(OR(TEXT(AB$13,"ddd")="Sun",AB$13="",$D218=""),"",IF('Leave Planner'!Z219="",1,0))</f>
        <v/>
      </c>
      <c r="AC218" s="17" t="str">
        <f>IF(OR(TEXT(AC$13,"ddd")="Sun",AC$13="",$D218=""),"",IF('Leave Planner'!AA219="",1,0))</f>
        <v/>
      </c>
      <c r="AD218" s="17" t="str">
        <f>IF(OR(TEXT(AD$13,"ddd")="Sun",AD$13="",$D218=""),"",IF('Leave Planner'!AB219="",1,0))</f>
        <v/>
      </c>
      <c r="AE218" s="17" t="str">
        <f>IF(OR(TEXT(AE$13,"ddd")="Sun",AE$13="",$D218=""),"",IF('Leave Planner'!AC219="",1,0))</f>
        <v/>
      </c>
      <c r="AF218" s="17" t="str">
        <f>IF(OR(TEXT(AF$13,"ddd")="Sun",AF$13="",$D218=""),"",IF('Leave Planner'!AD219="",1,0))</f>
        <v/>
      </c>
      <c r="AG218" s="17" t="str">
        <f>IF(OR(TEXT(AG$13,"ddd")="Sun",AG$13="",$D218=""),"",IF('Leave Planner'!AE219="",1,0))</f>
        <v/>
      </c>
      <c r="AH218" s="17" t="str">
        <f>IF(OR(TEXT(AH$13,"ddd")="Sun",AH$13="",$D218=""),"",IF('Leave Planner'!AF219="",1,0))</f>
        <v/>
      </c>
      <c r="AI218" s="17" t="str">
        <f>IF(OR(TEXT(AI$13,"ddd")="Sun",AI$13="",$D218=""),"",IF('Leave Planner'!AG219="",1,0))</f>
        <v/>
      </c>
      <c r="AJ218" s="17" t="str">
        <f>IF(OR(TEXT(AJ$13,"ddd")="Sun",AJ$13="",$D218=""),"",IF('Leave Planner'!AH219="",1,0))</f>
        <v/>
      </c>
    </row>
    <row r="219" spans="2:36" x14ac:dyDescent="0.75">
      <c r="B219" s="15"/>
      <c r="C219" s="22"/>
      <c r="D219" s="22"/>
      <c r="E219" s="42" t="str">
        <f t="shared" si="8"/>
        <v/>
      </c>
      <c r="F219" s="17" t="str">
        <f>IF(OR(TEXT(F$13,"ddd")="Sun",F$13="",$D219=""),"",IF('Leave Planner'!D220="",1,0))</f>
        <v/>
      </c>
      <c r="G219" s="17" t="str">
        <f>IF(OR(TEXT(G$13,"ddd")="Sun",G$13="",$D219=""),"",IF('Leave Planner'!E220="",1,0))</f>
        <v/>
      </c>
      <c r="H219" s="17" t="str">
        <f>IF(OR(TEXT(H$13,"ddd")="Sun",H$13="",$D219=""),"",IF('Leave Planner'!F220="",1,0))</f>
        <v/>
      </c>
      <c r="I219" s="17" t="str">
        <f>IF(OR(TEXT(I$13,"ddd")="Sun",I$13="",$D219=""),"",IF('Leave Planner'!G220="",1,0))</f>
        <v/>
      </c>
      <c r="J219" s="17" t="str">
        <f>IF(OR(TEXT(J$13,"ddd")="Sun",J$13="",$D219=""),"",IF('Leave Planner'!H220="",1,0))</f>
        <v/>
      </c>
      <c r="K219" s="17" t="str">
        <f>IF(OR(TEXT(K$13,"ddd")="Sun",K$13="",$D219=""),"",IF('Leave Planner'!I220="",1,0))</f>
        <v/>
      </c>
      <c r="L219" s="17" t="str">
        <f>IF(OR(TEXT(L$13,"ddd")="Sun",L$13="",$D219=""),"",IF('Leave Planner'!J220="",1,0))</f>
        <v/>
      </c>
      <c r="M219" s="17" t="str">
        <f>IF(OR(TEXT(M$13,"ddd")="Sun",M$13="",$D219=""),"",IF('Leave Planner'!K220="",1,0))</f>
        <v/>
      </c>
      <c r="N219" s="17" t="str">
        <f>IF(OR(TEXT(N$13,"ddd")="Sun",N$13="",$D219=""),"",IF('Leave Planner'!L220="",1,0))</f>
        <v/>
      </c>
      <c r="O219" s="17" t="str">
        <f>IF(OR(TEXT(O$13,"ddd")="Sun",O$13="",$D219=""),"",IF('Leave Planner'!M220="",1,0))</f>
        <v/>
      </c>
      <c r="P219" s="17" t="str">
        <f>IF(OR(TEXT(P$13,"ddd")="Sun",P$13="",$D219=""),"",IF('Leave Planner'!N220="",1,0))</f>
        <v/>
      </c>
      <c r="Q219" s="17" t="str">
        <f>IF(OR(TEXT(Q$13,"ddd")="Sun",Q$13="",$D219=""),"",IF('Leave Planner'!O220="",1,0))</f>
        <v/>
      </c>
      <c r="R219" s="17" t="str">
        <f>IF(OR(TEXT(R$13,"ddd")="Sun",R$13="",$D219=""),"",IF('Leave Planner'!P220="",1,0))</f>
        <v/>
      </c>
      <c r="S219" s="17" t="str">
        <f>IF(OR(TEXT(S$13,"ddd")="Sun",S$13="",$D219=""),"",IF('Leave Planner'!Q220="",1,0))</f>
        <v/>
      </c>
      <c r="T219" s="17" t="str">
        <f>IF(OR(TEXT(T$13,"ddd")="Sun",T$13="",$D219=""),"",IF('Leave Planner'!R220="",1,0))</f>
        <v/>
      </c>
      <c r="U219" s="17" t="str">
        <f>IF(OR(TEXT(U$13,"ddd")="Sun",U$13="",$D219=""),"",IF('Leave Planner'!S220="",1,0))</f>
        <v/>
      </c>
      <c r="V219" s="17" t="str">
        <f>IF(OR(TEXT(V$13,"ddd")="Sun",V$13="",$D219=""),"",IF('Leave Planner'!T220="",1,0))</f>
        <v/>
      </c>
      <c r="W219" s="17" t="str">
        <f>IF(OR(TEXT(W$13,"ddd")="Sun",W$13="",$D219=""),"",IF('Leave Planner'!U220="",1,0))</f>
        <v/>
      </c>
      <c r="X219" s="17" t="str">
        <f>IF(OR(TEXT(X$13,"ddd")="Sun",X$13="",$D219=""),"",IF('Leave Planner'!V220="",1,0))</f>
        <v/>
      </c>
      <c r="Y219" s="17" t="str">
        <f>IF(OR(TEXT(Y$13,"ddd")="Sun",Y$13="",$D219=""),"",IF('Leave Planner'!W220="",1,0))</f>
        <v/>
      </c>
      <c r="Z219" s="17" t="str">
        <f>IF(OR(TEXT(Z$13,"ddd")="Sun",Z$13="",$D219=""),"",IF('Leave Planner'!X220="",1,0))</f>
        <v/>
      </c>
      <c r="AA219" s="17" t="str">
        <f>IF(OR(TEXT(AA$13,"ddd")="Sun",AA$13="",$D219=""),"",IF('Leave Planner'!Y220="",1,0))</f>
        <v/>
      </c>
      <c r="AB219" s="17" t="str">
        <f>IF(OR(TEXT(AB$13,"ddd")="Sun",AB$13="",$D219=""),"",IF('Leave Planner'!Z220="",1,0))</f>
        <v/>
      </c>
      <c r="AC219" s="17" t="str">
        <f>IF(OR(TEXT(AC$13,"ddd")="Sun",AC$13="",$D219=""),"",IF('Leave Planner'!AA220="",1,0))</f>
        <v/>
      </c>
      <c r="AD219" s="17" t="str">
        <f>IF(OR(TEXT(AD$13,"ddd")="Sun",AD$13="",$D219=""),"",IF('Leave Planner'!AB220="",1,0))</f>
        <v/>
      </c>
      <c r="AE219" s="17" t="str">
        <f>IF(OR(TEXT(AE$13,"ddd")="Sun",AE$13="",$D219=""),"",IF('Leave Planner'!AC220="",1,0))</f>
        <v/>
      </c>
      <c r="AF219" s="17" t="str">
        <f>IF(OR(TEXT(AF$13,"ddd")="Sun",AF$13="",$D219=""),"",IF('Leave Planner'!AD220="",1,0))</f>
        <v/>
      </c>
      <c r="AG219" s="17" t="str">
        <f>IF(OR(TEXT(AG$13,"ddd")="Sun",AG$13="",$D219=""),"",IF('Leave Planner'!AE220="",1,0))</f>
        <v/>
      </c>
      <c r="AH219" s="17" t="str">
        <f>IF(OR(TEXT(AH$13,"ddd")="Sun",AH$13="",$D219=""),"",IF('Leave Planner'!AF220="",1,0))</f>
        <v/>
      </c>
      <c r="AI219" s="17" t="str">
        <f>IF(OR(TEXT(AI$13,"ddd")="Sun",AI$13="",$D219=""),"",IF('Leave Planner'!AG220="",1,0))</f>
        <v/>
      </c>
      <c r="AJ219" s="17" t="str">
        <f>IF(OR(TEXT(AJ$13,"ddd")="Sun",AJ$13="",$D219=""),"",IF('Leave Planner'!AH220="",1,0))</f>
        <v/>
      </c>
    </row>
    <row r="220" spans="2:36" x14ac:dyDescent="0.75">
      <c r="B220" s="15"/>
      <c r="C220" s="22"/>
      <c r="D220" s="22"/>
      <c r="E220" s="42" t="str">
        <f t="shared" si="8"/>
        <v/>
      </c>
      <c r="F220" s="17" t="str">
        <f>IF(OR(TEXT(F$13,"ddd")="Sun",F$13="",$D220=""),"",IF('Leave Planner'!D221="",1,0))</f>
        <v/>
      </c>
      <c r="G220" s="17" t="str">
        <f>IF(OR(TEXT(G$13,"ddd")="Sun",G$13="",$D220=""),"",IF('Leave Planner'!E221="",1,0))</f>
        <v/>
      </c>
      <c r="H220" s="17" t="str">
        <f>IF(OR(TEXT(H$13,"ddd")="Sun",H$13="",$D220=""),"",IF('Leave Planner'!F221="",1,0))</f>
        <v/>
      </c>
      <c r="I220" s="17" t="str">
        <f>IF(OR(TEXT(I$13,"ddd")="Sun",I$13="",$D220=""),"",IF('Leave Planner'!G221="",1,0))</f>
        <v/>
      </c>
      <c r="J220" s="17" t="str">
        <f>IF(OR(TEXT(J$13,"ddd")="Sun",J$13="",$D220=""),"",IF('Leave Planner'!H221="",1,0))</f>
        <v/>
      </c>
      <c r="K220" s="17" t="str">
        <f>IF(OR(TEXT(K$13,"ddd")="Sun",K$13="",$D220=""),"",IF('Leave Planner'!I221="",1,0))</f>
        <v/>
      </c>
      <c r="L220" s="17" t="str">
        <f>IF(OR(TEXT(L$13,"ddd")="Sun",L$13="",$D220=""),"",IF('Leave Planner'!J221="",1,0))</f>
        <v/>
      </c>
      <c r="M220" s="17" t="str">
        <f>IF(OR(TEXT(M$13,"ddd")="Sun",M$13="",$D220=""),"",IF('Leave Planner'!K221="",1,0))</f>
        <v/>
      </c>
      <c r="N220" s="17" t="str">
        <f>IF(OR(TEXT(N$13,"ddd")="Sun",N$13="",$D220=""),"",IF('Leave Planner'!L221="",1,0))</f>
        <v/>
      </c>
      <c r="O220" s="17" t="str">
        <f>IF(OR(TEXT(O$13,"ddd")="Sun",O$13="",$D220=""),"",IF('Leave Planner'!M221="",1,0))</f>
        <v/>
      </c>
      <c r="P220" s="17" t="str">
        <f>IF(OR(TEXT(P$13,"ddd")="Sun",P$13="",$D220=""),"",IF('Leave Planner'!N221="",1,0))</f>
        <v/>
      </c>
      <c r="Q220" s="17" t="str">
        <f>IF(OR(TEXT(Q$13,"ddd")="Sun",Q$13="",$D220=""),"",IF('Leave Planner'!O221="",1,0))</f>
        <v/>
      </c>
      <c r="R220" s="17" t="str">
        <f>IF(OR(TEXT(R$13,"ddd")="Sun",R$13="",$D220=""),"",IF('Leave Planner'!P221="",1,0))</f>
        <v/>
      </c>
      <c r="S220" s="17" t="str">
        <f>IF(OR(TEXT(S$13,"ddd")="Sun",S$13="",$D220=""),"",IF('Leave Planner'!Q221="",1,0))</f>
        <v/>
      </c>
      <c r="T220" s="17" t="str">
        <f>IF(OR(TEXT(T$13,"ddd")="Sun",T$13="",$D220=""),"",IF('Leave Planner'!R221="",1,0))</f>
        <v/>
      </c>
      <c r="U220" s="17" t="str">
        <f>IF(OR(TEXT(U$13,"ddd")="Sun",U$13="",$D220=""),"",IF('Leave Planner'!S221="",1,0))</f>
        <v/>
      </c>
      <c r="V220" s="17" t="str">
        <f>IF(OR(TEXT(V$13,"ddd")="Sun",V$13="",$D220=""),"",IF('Leave Planner'!T221="",1,0))</f>
        <v/>
      </c>
      <c r="W220" s="17" t="str">
        <f>IF(OR(TEXT(W$13,"ddd")="Sun",W$13="",$D220=""),"",IF('Leave Planner'!U221="",1,0))</f>
        <v/>
      </c>
      <c r="X220" s="17" t="str">
        <f>IF(OR(TEXT(X$13,"ddd")="Sun",X$13="",$D220=""),"",IF('Leave Planner'!V221="",1,0))</f>
        <v/>
      </c>
      <c r="Y220" s="17" t="str">
        <f>IF(OR(TEXT(Y$13,"ddd")="Sun",Y$13="",$D220=""),"",IF('Leave Planner'!W221="",1,0))</f>
        <v/>
      </c>
      <c r="Z220" s="17" t="str">
        <f>IF(OR(TEXT(Z$13,"ddd")="Sun",Z$13="",$D220=""),"",IF('Leave Planner'!X221="",1,0))</f>
        <v/>
      </c>
      <c r="AA220" s="17" t="str">
        <f>IF(OR(TEXT(AA$13,"ddd")="Sun",AA$13="",$D220=""),"",IF('Leave Planner'!Y221="",1,0))</f>
        <v/>
      </c>
      <c r="AB220" s="17" t="str">
        <f>IF(OR(TEXT(AB$13,"ddd")="Sun",AB$13="",$D220=""),"",IF('Leave Planner'!Z221="",1,0))</f>
        <v/>
      </c>
      <c r="AC220" s="17" t="str">
        <f>IF(OR(TEXT(AC$13,"ddd")="Sun",AC$13="",$D220=""),"",IF('Leave Planner'!AA221="",1,0))</f>
        <v/>
      </c>
      <c r="AD220" s="17" t="str">
        <f>IF(OR(TEXT(AD$13,"ddd")="Sun",AD$13="",$D220=""),"",IF('Leave Planner'!AB221="",1,0))</f>
        <v/>
      </c>
      <c r="AE220" s="17" t="str">
        <f>IF(OR(TEXT(AE$13,"ddd")="Sun",AE$13="",$D220=""),"",IF('Leave Planner'!AC221="",1,0))</f>
        <v/>
      </c>
      <c r="AF220" s="17" t="str">
        <f>IF(OR(TEXT(AF$13,"ddd")="Sun",AF$13="",$D220=""),"",IF('Leave Planner'!AD221="",1,0))</f>
        <v/>
      </c>
      <c r="AG220" s="17" t="str">
        <f>IF(OR(TEXT(AG$13,"ddd")="Sun",AG$13="",$D220=""),"",IF('Leave Planner'!AE221="",1,0))</f>
        <v/>
      </c>
      <c r="AH220" s="17" t="str">
        <f>IF(OR(TEXT(AH$13,"ddd")="Sun",AH$13="",$D220=""),"",IF('Leave Planner'!AF221="",1,0))</f>
        <v/>
      </c>
      <c r="AI220" s="17" t="str">
        <f>IF(OR(TEXT(AI$13,"ddd")="Sun",AI$13="",$D220=""),"",IF('Leave Planner'!AG221="",1,0))</f>
        <v/>
      </c>
      <c r="AJ220" s="17" t="str">
        <f>IF(OR(TEXT(AJ$13,"ddd")="Sun",AJ$13="",$D220=""),"",IF('Leave Planner'!AH221="",1,0))</f>
        <v/>
      </c>
    </row>
    <row r="221" spans="2:36" x14ac:dyDescent="0.75">
      <c r="B221" s="15"/>
      <c r="C221" s="22"/>
      <c r="D221" s="22"/>
      <c r="E221" s="42" t="str">
        <f t="shared" si="8"/>
        <v/>
      </c>
      <c r="F221" s="17" t="str">
        <f>IF(OR(TEXT(F$13,"ddd")="Sun",F$13="",$D221=""),"",IF('Leave Planner'!D222="",1,0))</f>
        <v/>
      </c>
      <c r="G221" s="17" t="str">
        <f>IF(OR(TEXT(G$13,"ddd")="Sun",G$13="",$D221=""),"",IF('Leave Planner'!E222="",1,0))</f>
        <v/>
      </c>
      <c r="H221" s="17" t="str">
        <f>IF(OR(TEXT(H$13,"ddd")="Sun",H$13="",$D221=""),"",IF('Leave Planner'!F222="",1,0))</f>
        <v/>
      </c>
      <c r="I221" s="17" t="str">
        <f>IF(OR(TEXT(I$13,"ddd")="Sun",I$13="",$D221=""),"",IF('Leave Planner'!G222="",1,0))</f>
        <v/>
      </c>
      <c r="J221" s="17" t="str">
        <f>IF(OR(TEXT(J$13,"ddd")="Sun",J$13="",$D221=""),"",IF('Leave Planner'!H222="",1,0))</f>
        <v/>
      </c>
      <c r="K221" s="17" t="str">
        <f>IF(OR(TEXT(K$13,"ddd")="Sun",K$13="",$D221=""),"",IF('Leave Planner'!I222="",1,0))</f>
        <v/>
      </c>
      <c r="L221" s="17" t="str">
        <f>IF(OR(TEXT(L$13,"ddd")="Sun",L$13="",$D221=""),"",IF('Leave Planner'!J222="",1,0))</f>
        <v/>
      </c>
      <c r="M221" s="17" t="str">
        <f>IF(OR(TEXT(M$13,"ddd")="Sun",M$13="",$D221=""),"",IF('Leave Planner'!K222="",1,0))</f>
        <v/>
      </c>
      <c r="N221" s="17" t="str">
        <f>IF(OR(TEXT(N$13,"ddd")="Sun",N$13="",$D221=""),"",IF('Leave Planner'!L222="",1,0))</f>
        <v/>
      </c>
      <c r="O221" s="17" t="str">
        <f>IF(OR(TEXT(O$13,"ddd")="Sun",O$13="",$D221=""),"",IF('Leave Planner'!M222="",1,0))</f>
        <v/>
      </c>
      <c r="P221" s="17" t="str">
        <f>IF(OR(TEXT(P$13,"ddd")="Sun",P$13="",$D221=""),"",IF('Leave Planner'!N222="",1,0))</f>
        <v/>
      </c>
      <c r="Q221" s="17" t="str">
        <f>IF(OR(TEXT(Q$13,"ddd")="Sun",Q$13="",$D221=""),"",IF('Leave Planner'!O222="",1,0))</f>
        <v/>
      </c>
      <c r="R221" s="17" t="str">
        <f>IF(OR(TEXT(R$13,"ddd")="Sun",R$13="",$D221=""),"",IF('Leave Planner'!P222="",1,0))</f>
        <v/>
      </c>
      <c r="S221" s="17" t="str">
        <f>IF(OR(TEXT(S$13,"ddd")="Sun",S$13="",$D221=""),"",IF('Leave Planner'!Q222="",1,0))</f>
        <v/>
      </c>
      <c r="T221" s="17" t="str">
        <f>IF(OR(TEXT(T$13,"ddd")="Sun",T$13="",$D221=""),"",IF('Leave Planner'!R222="",1,0))</f>
        <v/>
      </c>
      <c r="U221" s="17" t="str">
        <f>IF(OR(TEXT(U$13,"ddd")="Sun",U$13="",$D221=""),"",IF('Leave Planner'!S222="",1,0))</f>
        <v/>
      </c>
      <c r="V221" s="17" t="str">
        <f>IF(OR(TEXT(V$13,"ddd")="Sun",V$13="",$D221=""),"",IF('Leave Planner'!T222="",1,0))</f>
        <v/>
      </c>
      <c r="W221" s="17" t="str">
        <f>IF(OR(TEXT(W$13,"ddd")="Sun",W$13="",$D221=""),"",IF('Leave Planner'!U222="",1,0))</f>
        <v/>
      </c>
      <c r="X221" s="17" t="str">
        <f>IF(OR(TEXT(X$13,"ddd")="Sun",X$13="",$D221=""),"",IF('Leave Planner'!V222="",1,0))</f>
        <v/>
      </c>
      <c r="Y221" s="17" t="str">
        <f>IF(OR(TEXT(Y$13,"ddd")="Sun",Y$13="",$D221=""),"",IF('Leave Planner'!W222="",1,0))</f>
        <v/>
      </c>
      <c r="Z221" s="17" t="str">
        <f>IF(OR(TEXT(Z$13,"ddd")="Sun",Z$13="",$D221=""),"",IF('Leave Planner'!X222="",1,0))</f>
        <v/>
      </c>
      <c r="AA221" s="17" t="str">
        <f>IF(OR(TEXT(AA$13,"ddd")="Sun",AA$13="",$D221=""),"",IF('Leave Planner'!Y222="",1,0))</f>
        <v/>
      </c>
      <c r="AB221" s="17" t="str">
        <f>IF(OR(TEXT(AB$13,"ddd")="Sun",AB$13="",$D221=""),"",IF('Leave Planner'!Z222="",1,0))</f>
        <v/>
      </c>
      <c r="AC221" s="17" t="str">
        <f>IF(OR(TEXT(AC$13,"ddd")="Sun",AC$13="",$D221=""),"",IF('Leave Planner'!AA222="",1,0))</f>
        <v/>
      </c>
      <c r="AD221" s="17" t="str">
        <f>IF(OR(TEXT(AD$13,"ddd")="Sun",AD$13="",$D221=""),"",IF('Leave Planner'!AB222="",1,0))</f>
        <v/>
      </c>
      <c r="AE221" s="17" t="str">
        <f>IF(OR(TEXT(AE$13,"ddd")="Sun",AE$13="",$D221=""),"",IF('Leave Planner'!AC222="",1,0))</f>
        <v/>
      </c>
      <c r="AF221" s="17" t="str">
        <f>IF(OR(TEXT(AF$13,"ddd")="Sun",AF$13="",$D221=""),"",IF('Leave Planner'!AD222="",1,0))</f>
        <v/>
      </c>
      <c r="AG221" s="17" t="str">
        <f>IF(OR(TEXT(AG$13,"ddd")="Sun",AG$13="",$D221=""),"",IF('Leave Planner'!AE222="",1,0))</f>
        <v/>
      </c>
      <c r="AH221" s="17" t="str">
        <f>IF(OR(TEXT(AH$13,"ddd")="Sun",AH$13="",$D221=""),"",IF('Leave Planner'!AF222="",1,0))</f>
        <v/>
      </c>
      <c r="AI221" s="17" t="str">
        <f>IF(OR(TEXT(AI$13,"ddd")="Sun",AI$13="",$D221=""),"",IF('Leave Planner'!AG222="",1,0))</f>
        <v/>
      </c>
      <c r="AJ221" s="17" t="str">
        <f>IF(OR(TEXT(AJ$13,"ddd")="Sun",AJ$13="",$D221=""),"",IF('Leave Planner'!AH222="",1,0))</f>
        <v/>
      </c>
    </row>
    <row r="222" spans="2:36" x14ac:dyDescent="0.75">
      <c r="B222" s="15"/>
      <c r="C222" s="22"/>
      <c r="D222" s="22"/>
      <c r="E222" s="42" t="str">
        <f t="shared" si="8"/>
        <v/>
      </c>
      <c r="F222" s="17" t="str">
        <f>IF(OR(TEXT(F$13,"ddd")="Sun",F$13="",$D222=""),"",IF('Leave Planner'!D223="",1,0))</f>
        <v/>
      </c>
      <c r="G222" s="17" t="str">
        <f>IF(OR(TEXT(G$13,"ddd")="Sun",G$13="",$D222=""),"",IF('Leave Planner'!E223="",1,0))</f>
        <v/>
      </c>
      <c r="H222" s="17" t="str">
        <f>IF(OR(TEXT(H$13,"ddd")="Sun",H$13="",$D222=""),"",IF('Leave Planner'!F223="",1,0))</f>
        <v/>
      </c>
      <c r="I222" s="17" t="str">
        <f>IF(OR(TEXT(I$13,"ddd")="Sun",I$13="",$D222=""),"",IF('Leave Planner'!G223="",1,0))</f>
        <v/>
      </c>
      <c r="J222" s="17" t="str">
        <f>IF(OR(TEXT(J$13,"ddd")="Sun",J$13="",$D222=""),"",IF('Leave Planner'!H223="",1,0))</f>
        <v/>
      </c>
      <c r="K222" s="17" t="str">
        <f>IF(OR(TEXT(K$13,"ddd")="Sun",K$13="",$D222=""),"",IF('Leave Planner'!I223="",1,0))</f>
        <v/>
      </c>
      <c r="L222" s="17" t="str">
        <f>IF(OR(TEXT(L$13,"ddd")="Sun",L$13="",$D222=""),"",IF('Leave Planner'!J223="",1,0))</f>
        <v/>
      </c>
      <c r="M222" s="17" t="str">
        <f>IF(OR(TEXT(M$13,"ddd")="Sun",M$13="",$D222=""),"",IF('Leave Planner'!K223="",1,0))</f>
        <v/>
      </c>
      <c r="N222" s="17" t="str">
        <f>IF(OR(TEXT(N$13,"ddd")="Sun",N$13="",$D222=""),"",IF('Leave Planner'!L223="",1,0))</f>
        <v/>
      </c>
      <c r="O222" s="17" t="str">
        <f>IF(OR(TEXT(O$13,"ddd")="Sun",O$13="",$D222=""),"",IF('Leave Planner'!M223="",1,0))</f>
        <v/>
      </c>
      <c r="P222" s="17" t="str">
        <f>IF(OR(TEXT(P$13,"ddd")="Sun",P$13="",$D222=""),"",IF('Leave Planner'!N223="",1,0))</f>
        <v/>
      </c>
      <c r="Q222" s="17" t="str">
        <f>IF(OR(TEXT(Q$13,"ddd")="Sun",Q$13="",$D222=""),"",IF('Leave Planner'!O223="",1,0))</f>
        <v/>
      </c>
      <c r="R222" s="17" t="str">
        <f>IF(OR(TEXT(R$13,"ddd")="Sun",R$13="",$D222=""),"",IF('Leave Planner'!P223="",1,0))</f>
        <v/>
      </c>
      <c r="S222" s="17" t="str">
        <f>IF(OR(TEXT(S$13,"ddd")="Sun",S$13="",$D222=""),"",IF('Leave Planner'!Q223="",1,0))</f>
        <v/>
      </c>
      <c r="T222" s="17" t="str">
        <f>IF(OR(TEXT(T$13,"ddd")="Sun",T$13="",$D222=""),"",IF('Leave Planner'!R223="",1,0))</f>
        <v/>
      </c>
      <c r="U222" s="17" t="str">
        <f>IF(OR(TEXT(U$13,"ddd")="Sun",U$13="",$D222=""),"",IF('Leave Planner'!S223="",1,0))</f>
        <v/>
      </c>
      <c r="V222" s="17" t="str">
        <f>IF(OR(TEXT(V$13,"ddd")="Sun",V$13="",$D222=""),"",IF('Leave Planner'!T223="",1,0))</f>
        <v/>
      </c>
      <c r="W222" s="17" t="str">
        <f>IF(OR(TEXT(W$13,"ddd")="Sun",W$13="",$D222=""),"",IF('Leave Planner'!U223="",1,0))</f>
        <v/>
      </c>
      <c r="X222" s="17" t="str">
        <f>IF(OR(TEXT(X$13,"ddd")="Sun",X$13="",$D222=""),"",IF('Leave Planner'!V223="",1,0))</f>
        <v/>
      </c>
      <c r="Y222" s="17" t="str">
        <f>IF(OR(TEXT(Y$13,"ddd")="Sun",Y$13="",$D222=""),"",IF('Leave Planner'!W223="",1,0))</f>
        <v/>
      </c>
      <c r="Z222" s="17" t="str">
        <f>IF(OR(TEXT(Z$13,"ddd")="Sun",Z$13="",$D222=""),"",IF('Leave Planner'!X223="",1,0))</f>
        <v/>
      </c>
      <c r="AA222" s="17" t="str">
        <f>IF(OR(TEXT(AA$13,"ddd")="Sun",AA$13="",$D222=""),"",IF('Leave Planner'!Y223="",1,0))</f>
        <v/>
      </c>
      <c r="AB222" s="17" t="str">
        <f>IF(OR(TEXT(AB$13,"ddd")="Sun",AB$13="",$D222=""),"",IF('Leave Planner'!Z223="",1,0))</f>
        <v/>
      </c>
      <c r="AC222" s="17" t="str">
        <f>IF(OR(TEXT(AC$13,"ddd")="Sun",AC$13="",$D222=""),"",IF('Leave Planner'!AA223="",1,0))</f>
        <v/>
      </c>
      <c r="AD222" s="17" t="str">
        <f>IF(OR(TEXT(AD$13,"ddd")="Sun",AD$13="",$D222=""),"",IF('Leave Planner'!AB223="",1,0))</f>
        <v/>
      </c>
      <c r="AE222" s="17" t="str">
        <f>IF(OR(TEXT(AE$13,"ddd")="Sun",AE$13="",$D222=""),"",IF('Leave Planner'!AC223="",1,0))</f>
        <v/>
      </c>
      <c r="AF222" s="17" t="str">
        <f>IF(OR(TEXT(AF$13,"ddd")="Sun",AF$13="",$D222=""),"",IF('Leave Planner'!AD223="",1,0))</f>
        <v/>
      </c>
      <c r="AG222" s="17" t="str">
        <f>IF(OR(TEXT(AG$13,"ddd")="Sun",AG$13="",$D222=""),"",IF('Leave Planner'!AE223="",1,0))</f>
        <v/>
      </c>
      <c r="AH222" s="17" t="str">
        <f>IF(OR(TEXT(AH$13,"ddd")="Sun",AH$13="",$D222=""),"",IF('Leave Planner'!AF223="",1,0))</f>
        <v/>
      </c>
      <c r="AI222" s="17" t="str">
        <f>IF(OR(TEXT(AI$13,"ddd")="Sun",AI$13="",$D222=""),"",IF('Leave Planner'!AG223="",1,0))</f>
        <v/>
      </c>
      <c r="AJ222" s="17" t="str">
        <f>IF(OR(TEXT(AJ$13,"ddd")="Sun",AJ$13="",$D222=""),"",IF('Leave Planner'!AH223="",1,0))</f>
        <v/>
      </c>
    </row>
    <row r="223" spans="2:36" x14ac:dyDescent="0.75">
      <c r="B223" s="15"/>
      <c r="C223" s="22"/>
      <c r="D223" s="22"/>
      <c r="E223" s="42" t="str">
        <f t="shared" si="8"/>
        <v/>
      </c>
      <c r="F223" s="17" t="str">
        <f>IF(OR(TEXT(F$13,"ddd")="Sun",F$13="",$D223=""),"",IF('Leave Planner'!D224="",1,0))</f>
        <v/>
      </c>
      <c r="G223" s="17" t="str">
        <f>IF(OR(TEXT(G$13,"ddd")="Sun",G$13="",$D223=""),"",IF('Leave Planner'!E224="",1,0))</f>
        <v/>
      </c>
      <c r="H223" s="17" t="str">
        <f>IF(OR(TEXT(H$13,"ddd")="Sun",H$13="",$D223=""),"",IF('Leave Planner'!F224="",1,0))</f>
        <v/>
      </c>
      <c r="I223" s="17" t="str">
        <f>IF(OR(TEXT(I$13,"ddd")="Sun",I$13="",$D223=""),"",IF('Leave Planner'!G224="",1,0))</f>
        <v/>
      </c>
      <c r="J223" s="17" t="str">
        <f>IF(OR(TEXT(J$13,"ddd")="Sun",J$13="",$D223=""),"",IF('Leave Planner'!H224="",1,0))</f>
        <v/>
      </c>
      <c r="K223" s="17" t="str">
        <f>IF(OR(TEXT(K$13,"ddd")="Sun",K$13="",$D223=""),"",IF('Leave Planner'!I224="",1,0))</f>
        <v/>
      </c>
      <c r="L223" s="17" t="str">
        <f>IF(OR(TEXT(L$13,"ddd")="Sun",L$13="",$D223=""),"",IF('Leave Planner'!J224="",1,0))</f>
        <v/>
      </c>
      <c r="M223" s="17" t="str">
        <f>IF(OR(TEXT(M$13,"ddd")="Sun",M$13="",$D223=""),"",IF('Leave Planner'!K224="",1,0))</f>
        <v/>
      </c>
      <c r="N223" s="17" t="str">
        <f>IF(OR(TEXT(N$13,"ddd")="Sun",N$13="",$D223=""),"",IF('Leave Planner'!L224="",1,0))</f>
        <v/>
      </c>
      <c r="O223" s="17" t="str">
        <f>IF(OR(TEXT(O$13,"ddd")="Sun",O$13="",$D223=""),"",IF('Leave Planner'!M224="",1,0))</f>
        <v/>
      </c>
      <c r="P223" s="17" t="str">
        <f>IF(OR(TEXT(P$13,"ddd")="Sun",P$13="",$D223=""),"",IF('Leave Planner'!N224="",1,0))</f>
        <v/>
      </c>
      <c r="Q223" s="17" t="str">
        <f>IF(OR(TEXT(Q$13,"ddd")="Sun",Q$13="",$D223=""),"",IF('Leave Planner'!O224="",1,0))</f>
        <v/>
      </c>
      <c r="R223" s="17" t="str">
        <f>IF(OR(TEXT(R$13,"ddd")="Sun",R$13="",$D223=""),"",IF('Leave Planner'!P224="",1,0))</f>
        <v/>
      </c>
      <c r="S223" s="17" t="str">
        <f>IF(OR(TEXT(S$13,"ddd")="Sun",S$13="",$D223=""),"",IF('Leave Planner'!Q224="",1,0))</f>
        <v/>
      </c>
      <c r="T223" s="17" t="str">
        <f>IF(OR(TEXT(T$13,"ddd")="Sun",T$13="",$D223=""),"",IF('Leave Planner'!R224="",1,0))</f>
        <v/>
      </c>
      <c r="U223" s="17" t="str">
        <f>IF(OR(TEXT(U$13,"ddd")="Sun",U$13="",$D223=""),"",IF('Leave Planner'!S224="",1,0))</f>
        <v/>
      </c>
      <c r="V223" s="17" t="str">
        <f>IF(OR(TEXT(V$13,"ddd")="Sun",V$13="",$D223=""),"",IF('Leave Planner'!T224="",1,0))</f>
        <v/>
      </c>
      <c r="W223" s="17" t="str">
        <f>IF(OR(TEXT(W$13,"ddd")="Sun",W$13="",$D223=""),"",IF('Leave Planner'!U224="",1,0))</f>
        <v/>
      </c>
      <c r="X223" s="17" t="str">
        <f>IF(OR(TEXT(X$13,"ddd")="Sun",X$13="",$D223=""),"",IF('Leave Planner'!V224="",1,0))</f>
        <v/>
      </c>
      <c r="Y223" s="17" t="str">
        <f>IF(OR(TEXT(Y$13,"ddd")="Sun",Y$13="",$D223=""),"",IF('Leave Planner'!W224="",1,0))</f>
        <v/>
      </c>
      <c r="Z223" s="17" t="str">
        <f>IF(OR(TEXT(Z$13,"ddd")="Sun",Z$13="",$D223=""),"",IF('Leave Planner'!X224="",1,0))</f>
        <v/>
      </c>
      <c r="AA223" s="17" t="str">
        <f>IF(OR(TEXT(AA$13,"ddd")="Sun",AA$13="",$D223=""),"",IF('Leave Planner'!Y224="",1,0))</f>
        <v/>
      </c>
      <c r="AB223" s="17" t="str">
        <f>IF(OR(TEXT(AB$13,"ddd")="Sun",AB$13="",$D223=""),"",IF('Leave Planner'!Z224="",1,0))</f>
        <v/>
      </c>
      <c r="AC223" s="17" t="str">
        <f>IF(OR(TEXT(AC$13,"ddd")="Sun",AC$13="",$D223=""),"",IF('Leave Planner'!AA224="",1,0))</f>
        <v/>
      </c>
      <c r="AD223" s="17" t="str">
        <f>IF(OR(TEXT(AD$13,"ddd")="Sun",AD$13="",$D223=""),"",IF('Leave Planner'!AB224="",1,0))</f>
        <v/>
      </c>
      <c r="AE223" s="17" t="str">
        <f>IF(OR(TEXT(AE$13,"ddd")="Sun",AE$13="",$D223=""),"",IF('Leave Planner'!AC224="",1,0))</f>
        <v/>
      </c>
      <c r="AF223" s="17" t="str">
        <f>IF(OR(TEXT(AF$13,"ddd")="Sun",AF$13="",$D223=""),"",IF('Leave Planner'!AD224="",1,0))</f>
        <v/>
      </c>
      <c r="AG223" s="17" t="str">
        <f>IF(OR(TEXT(AG$13,"ddd")="Sun",AG$13="",$D223=""),"",IF('Leave Planner'!AE224="",1,0))</f>
        <v/>
      </c>
      <c r="AH223" s="17" t="str">
        <f>IF(OR(TEXT(AH$13,"ddd")="Sun",AH$13="",$D223=""),"",IF('Leave Planner'!AF224="",1,0))</f>
        <v/>
      </c>
      <c r="AI223" s="17" t="str">
        <f>IF(OR(TEXT(AI$13,"ddd")="Sun",AI$13="",$D223=""),"",IF('Leave Planner'!AG224="",1,0))</f>
        <v/>
      </c>
      <c r="AJ223" s="17" t="str">
        <f>IF(OR(TEXT(AJ$13,"ddd")="Sun",AJ$13="",$D223=""),"",IF('Leave Planner'!AH224="",1,0))</f>
        <v/>
      </c>
    </row>
    <row r="224" spans="2:36" x14ac:dyDescent="0.75">
      <c r="B224" s="15"/>
      <c r="C224" s="22"/>
      <c r="D224" s="22"/>
      <c r="E224" s="42" t="str">
        <f t="shared" si="8"/>
        <v/>
      </c>
      <c r="F224" s="17" t="str">
        <f>IF(OR(TEXT(F$13,"ddd")="Sun",F$13="",$D224=""),"",IF('Leave Planner'!D225="",1,0))</f>
        <v/>
      </c>
      <c r="G224" s="17" t="str">
        <f>IF(OR(TEXT(G$13,"ddd")="Sun",G$13="",$D224=""),"",IF('Leave Planner'!E225="",1,0))</f>
        <v/>
      </c>
      <c r="H224" s="17" t="str">
        <f>IF(OR(TEXT(H$13,"ddd")="Sun",H$13="",$D224=""),"",IF('Leave Planner'!F225="",1,0))</f>
        <v/>
      </c>
      <c r="I224" s="17" t="str">
        <f>IF(OR(TEXT(I$13,"ddd")="Sun",I$13="",$D224=""),"",IF('Leave Planner'!G225="",1,0))</f>
        <v/>
      </c>
      <c r="J224" s="17" t="str">
        <f>IF(OR(TEXT(J$13,"ddd")="Sun",J$13="",$D224=""),"",IF('Leave Planner'!H225="",1,0))</f>
        <v/>
      </c>
      <c r="K224" s="17" t="str">
        <f>IF(OR(TEXT(K$13,"ddd")="Sun",K$13="",$D224=""),"",IF('Leave Planner'!I225="",1,0))</f>
        <v/>
      </c>
      <c r="L224" s="17" t="str">
        <f>IF(OR(TEXT(L$13,"ddd")="Sun",L$13="",$D224=""),"",IF('Leave Planner'!J225="",1,0))</f>
        <v/>
      </c>
      <c r="M224" s="17" t="str">
        <f>IF(OR(TEXT(M$13,"ddd")="Sun",M$13="",$D224=""),"",IF('Leave Planner'!K225="",1,0))</f>
        <v/>
      </c>
      <c r="N224" s="17" t="str">
        <f>IF(OR(TEXT(N$13,"ddd")="Sun",N$13="",$D224=""),"",IF('Leave Planner'!L225="",1,0))</f>
        <v/>
      </c>
      <c r="O224" s="17" t="str">
        <f>IF(OR(TEXT(O$13,"ddd")="Sun",O$13="",$D224=""),"",IF('Leave Planner'!M225="",1,0))</f>
        <v/>
      </c>
      <c r="P224" s="17" t="str">
        <f>IF(OR(TEXT(P$13,"ddd")="Sun",P$13="",$D224=""),"",IF('Leave Planner'!N225="",1,0))</f>
        <v/>
      </c>
      <c r="Q224" s="17" t="str">
        <f>IF(OR(TEXT(Q$13,"ddd")="Sun",Q$13="",$D224=""),"",IF('Leave Planner'!O225="",1,0))</f>
        <v/>
      </c>
      <c r="R224" s="17" t="str">
        <f>IF(OR(TEXT(R$13,"ddd")="Sun",R$13="",$D224=""),"",IF('Leave Planner'!P225="",1,0))</f>
        <v/>
      </c>
      <c r="S224" s="17" t="str">
        <f>IF(OR(TEXT(S$13,"ddd")="Sun",S$13="",$D224=""),"",IF('Leave Planner'!Q225="",1,0))</f>
        <v/>
      </c>
      <c r="T224" s="17" t="str">
        <f>IF(OR(TEXT(T$13,"ddd")="Sun",T$13="",$D224=""),"",IF('Leave Planner'!R225="",1,0))</f>
        <v/>
      </c>
      <c r="U224" s="17" t="str">
        <f>IF(OR(TEXT(U$13,"ddd")="Sun",U$13="",$D224=""),"",IF('Leave Planner'!S225="",1,0))</f>
        <v/>
      </c>
      <c r="V224" s="17" t="str">
        <f>IF(OR(TEXT(V$13,"ddd")="Sun",V$13="",$D224=""),"",IF('Leave Planner'!T225="",1,0))</f>
        <v/>
      </c>
      <c r="W224" s="17" t="str">
        <f>IF(OR(TEXT(W$13,"ddd")="Sun",W$13="",$D224=""),"",IF('Leave Planner'!U225="",1,0))</f>
        <v/>
      </c>
      <c r="X224" s="17" t="str">
        <f>IF(OR(TEXT(X$13,"ddd")="Sun",X$13="",$D224=""),"",IF('Leave Planner'!V225="",1,0))</f>
        <v/>
      </c>
      <c r="Y224" s="17" t="str">
        <f>IF(OR(TEXT(Y$13,"ddd")="Sun",Y$13="",$D224=""),"",IF('Leave Planner'!W225="",1,0))</f>
        <v/>
      </c>
      <c r="Z224" s="17" t="str">
        <f>IF(OR(TEXT(Z$13,"ddd")="Sun",Z$13="",$D224=""),"",IF('Leave Planner'!X225="",1,0))</f>
        <v/>
      </c>
      <c r="AA224" s="17" t="str">
        <f>IF(OR(TEXT(AA$13,"ddd")="Sun",AA$13="",$D224=""),"",IF('Leave Planner'!Y225="",1,0))</f>
        <v/>
      </c>
      <c r="AB224" s="17" t="str">
        <f>IF(OR(TEXT(AB$13,"ddd")="Sun",AB$13="",$D224=""),"",IF('Leave Planner'!Z225="",1,0))</f>
        <v/>
      </c>
      <c r="AC224" s="17" t="str">
        <f>IF(OR(TEXT(AC$13,"ddd")="Sun",AC$13="",$D224=""),"",IF('Leave Planner'!AA225="",1,0))</f>
        <v/>
      </c>
      <c r="AD224" s="17" t="str">
        <f>IF(OR(TEXT(AD$13,"ddd")="Sun",AD$13="",$D224=""),"",IF('Leave Planner'!AB225="",1,0))</f>
        <v/>
      </c>
      <c r="AE224" s="17" t="str">
        <f>IF(OR(TEXT(AE$13,"ddd")="Sun",AE$13="",$D224=""),"",IF('Leave Planner'!AC225="",1,0))</f>
        <v/>
      </c>
      <c r="AF224" s="17" t="str">
        <f>IF(OR(TEXT(AF$13,"ddd")="Sun",AF$13="",$D224=""),"",IF('Leave Planner'!AD225="",1,0))</f>
        <v/>
      </c>
      <c r="AG224" s="17" t="str">
        <f>IF(OR(TEXT(AG$13,"ddd")="Sun",AG$13="",$D224=""),"",IF('Leave Planner'!AE225="",1,0))</f>
        <v/>
      </c>
      <c r="AH224" s="17" t="str">
        <f>IF(OR(TEXT(AH$13,"ddd")="Sun",AH$13="",$D224=""),"",IF('Leave Planner'!AF225="",1,0))</f>
        <v/>
      </c>
      <c r="AI224" s="17" t="str">
        <f>IF(OR(TEXT(AI$13,"ddd")="Sun",AI$13="",$D224=""),"",IF('Leave Planner'!AG225="",1,0))</f>
        <v/>
      </c>
      <c r="AJ224" s="17" t="str">
        <f>IF(OR(TEXT(AJ$13,"ddd")="Sun",AJ$13="",$D224=""),"",IF('Leave Planner'!AH225="",1,0))</f>
        <v/>
      </c>
    </row>
    <row r="225" spans="2:36" x14ac:dyDescent="0.75">
      <c r="B225" s="15"/>
      <c r="C225" s="22"/>
      <c r="D225" s="22"/>
      <c r="E225" s="42" t="str">
        <f t="shared" si="8"/>
        <v/>
      </c>
      <c r="F225" s="17" t="str">
        <f>IF(OR(TEXT(F$13,"ddd")="Sun",F$13="",$D225=""),"",IF('Leave Planner'!D226="",1,0))</f>
        <v/>
      </c>
      <c r="G225" s="17" t="str">
        <f>IF(OR(TEXT(G$13,"ddd")="Sun",G$13="",$D225=""),"",IF('Leave Planner'!E226="",1,0))</f>
        <v/>
      </c>
      <c r="H225" s="17" t="str">
        <f>IF(OR(TEXT(H$13,"ddd")="Sun",H$13="",$D225=""),"",IF('Leave Planner'!F226="",1,0))</f>
        <v/>
      </c>
      <c r="I225" s="17" t="str">
        <f>IF(OR(TEXT(I$13,"ddd")="Sun",I$13="",$D225=""),"",IF('Leave Planner'!G226="",1,0))</f>
        <v/>
      </c>
      <c r="J225" s="17" t="str">
        <f>IF(OR(TEXT(J$13,"ddd")="Sun",J$13="",$D225=""),"",IF('Leave Planner'!H226="",1,0))</f>
        <v/>
      </c>
      <c r="K225" s="17" t="str">
        <f>IF(OR(TEXT(K$13,"ddd")="Sun",K$13="",$D225=""),"",IF('Leave Planner'!I226="",1,0))</f>
        <v/>
      </c>
      <c r="L225" s="17" t="str">
        <f>IF(OR(TEXT(L$13,"ddd")="Sun",L$13="",$D225=""),"",IF('Leave Planner'!J226="",1,0))</f>
        <v/>
      </c>
      <c r="M225" s="17" t="str">
        <f>IF(OR(TEXT(M$13,"ddd")="Sun",M$13="",$D225=""),"",IF('Leave Planner'!K226="",1,0))</f>
        <v/>
      </c>
      <c r="N225" s="17" t="str">
        <f>IF(OR(TEXT(N$13,"ddd")="Sun",N$13="",$D225=""),"",IF('Leave Planner'!L226="",1,0))</f>
        <v/>
      </c>
      <c r="O225" s="17" t="str">
        <f>IF(OR(TEXT(O$13,"ddd")="Sun",O$13="",$D225=""),"",IF('Leave Planner'!M226="",1,0))</f>
        <v/>
      </c>
      <c r="P225" s="17" t="str">
        <f>IF(OR(TEXT(P$13,"ddd")="Sun",P$13="",$D225=""),"",IF('Leave Planner'!N226="",1,0))</f>
        <v/>
      </c>
      <c r="Q225" s="17" t="str">
        <f>IF(OR(TEXT(Q$13,"ddd")="Sun",Q$13="",$D225=""),"",IF('Leave Planner'!O226="",1,0))</f>
        <v/>
      </c>
      <c r="R225" s="17" t="str">
        <f>IF(OR(TEXT(R$13,"ddd")="Sun",R$13="",$D225=""),"",IF('Leave Planner'!P226="",1,0))</f>
        <v/>
      </c>
      <c r="S225" s="17" t="str">
        <f>IF(OR(TEXT(S$13,"ddd")="Sun",S$13="",$D225=""),"",IF('Leave Planner'!Q226="",1,0))</f>
        <v/>
      </c>
      <c r="T225" s="17" t="str">
        <f>IF(OR(TEXT(T$13,"ddd")="Sun",T$13="",$D225=""),"",IF('Leave Planner'!R226="",1,0))</f>
        <v/>
      </c>
      <c r="U225" s="17" t="str">
        <f>IF(OR(TEXT(U$13,"ddd")="Sun",U$13="",$D225=""),"",IF('Leave Planner'!S226="",1,0))</f>
        <v/>
      </c>
      <c r="V225" s="17" t="str">
        <f>IF(OR(TEXT(V$13,"ddd")="Sun",V$13="",$D225=""),"",IF('Leave Planner'!T226="",1,0))</f>
        <v/>
      </c>
      <c r="W225" s="17" t="str">
        <f>IF(OR(TEXT(W$13,"ddd")="Sun",W$13="",$D225=""),"",IF('Leave Planner'!U226="",1,0))</f>
        <v/>
      </c>
      <c r="X225" s="17" t="str">
        <f>IF(OR(TEXT(X$13,"ddd")="Sun",X$13="",$D225=""),"",IF('Leave Planner'!V226="",1,0))</f>
        <v/>
      </c>
      <c r="Y225" s="17" t="str">
        <f>IF(OR(TEXT(Y$13,"ddd")="Sun",Y$13="",$D225=""),"",IF('Leave Planner'!W226="",1,0))</f>
        <v/>
      </c>
      <c r="Z225" s="17" t="str">
        <f>IF(OR(TEXT(Z$13,"ddd")="Sun",Z$13="",$D225=""),"",IF('Leave Planner'!X226="",1,0))</f>
        <v/>
      </c>
      <c r="AA225" s="17" t="str">
        <f>IF(OR(TEXT(AA$13,"ddd")="Sun",AA$13="",$D225=""),"",IF('Leave Planner'!Y226="",1,0))</f>
        <v/>
      </c>
      <c r="AB225" s="17" t="str">
        <f>IF(OR(TEXT(AB$13,"ddd")="Sun",AB$13="",$D225=""),"",IF('Leave Planner'!Z226="",1,0))</f>
        <v/>
      </c>
      <c r="AC225" s="17" t="str">
        <f>IF(OR(TEXT(AC$13,"ddd")="Sun",AC$13="",$D225=""),"",IF('Leave Planner'!AA226="",1,0))</f>
        <v/>
      </c>
      <c r="AD225" s="17" t="str">
        <f>IF(OR(TEXT(AD$13,"ddd")="Sun",AD$13="",$D225=""),"",IF('Leave Planner'!AB226="",1,0))</f>
        <v/>
      </c>
      <c r="AE225" s="17" t="str">
        <f>IF(OR(TEXT(AE$13,"ddd")="Sun",AE$13="",$D225=""),"",IF('Leave Planner'!AC226="",1,0))</f>
        <v/>
      </c>
      <c r="AF225" s="17" t="str">
        <f>IF(OR(TEXT(AF$13,"ddd")="Sun",AF$13="",$D225=""),"",IF('Leave Planner'!AD226="",1,0))</f>
        <v/>
      </c>
      <c r="AG225" s="17" t="str">
        <f>IF(OR(TEXT(AG$13,"ddd")="Sun",AG$13="",$D225=""),"",IF('Leave Planner'!AE226="",1,0))</f>
        <v/>
      </c>
      <c r="AH225" s="17" t="str">
        <f>IF(OR(TEXT(AH$13,"ddd")="Sun",AH$13="",$D225=""),"",IF('Leave Planner'!AF226="",1,0))</f>
        <v/>
      </c>
      <c r="AI225" s="17" t="str">
        <f>IF(OR(TEXT(AI$13,"ddd")="Sun",AI$13="",$D225=""),"",IF('Leave Planner'!AG226="",1,0))</f>
        <v/>
      </c>
      <c r="AJ225" s="17" t="str">
        <f>IF(OR(TEXT(AJ$13,"ddd")="Sun",AJ$13="",$D225=""),"",IF('Leave Planner'!AH226="",1,0))</f>
        <v/>
      </c>
    </row>
    <row r="226" spans="2:36" x14ac:dyDescent="0.75">
      <c r="B226" s="15"/>
      <c r="C226" s="22"/>
      <c r="D226" s="22"/>
      <c r="E226" s="42" t="str">
        <f t="shared" si="8"/>
        <v/>
      </c>
      <c r="F226" s="17" t="str">
        <f>IF(OR(TEXT(F$13,"ddd")="Sun",F$13="",$D226=""),"",IF('Leave Planner'!D227="",1,0))</f>
        <v/>
      </c>
      <c r="G226" s="17" t="str">
        <f>IF(OR(TEXT(G$13,"ddd")="Sun",G$13="",$D226=""),"",IF('Leave Planner'!E227="",1,0))</f>
        <v/>
      </c>
      <c r="H226" s="17" t="str">
        <f>IF(OR(TEXT(H$13,"ddd")="Sun",H$13="",$D226=""),"",IF('Leave Planner'!F227="",1,0))</f>
        <v/>
      </c>
      <c r="I226" s="17" t="str">
        <f>IF(OR(TEXT(I$13,"ddd")="Sun",I$13="",$D226=""),"",IF('Leave Planner'!G227="",1,0))</f>
        <v/>
      </c>
      <c r="J226" s="17" t="str">
        <f>IF(OR(TEXT(J$13,"ddd")="Sun",J$13="",$D226=""),"",IF('Leave Planner'!H227="",1,0))</f>
        <v/>
      </c>
      <c r="K226" s="17" t="str">
        <f>IF(OR(TEXT(K$13,"ddd")="Sun",K$13="",$D226=""),"",IF('Leave Planner'!I227="",1,0))</f>
        <v/>
      </c>
      <c r="L226" s="17" t="str">
        <f>IF(OR(TEXT(L$13,"ddd")="Sun",L$13="",$D226=""),"",IF('Leave Planner'!J227="",1,0))</f>
        <v/>
      </c>
      <c r="M226" s="17" t="str">
        <f>IF(OR(TEXT(M$13,"ddd")="Sun",M$13="",$D226=""),"",IF('Leave Planner'!K227="",1,0))</f>
        <v/>
      </c>
      <c r="N226" s="17" t="str">
        <f>IF(OR(TEXT(N$13,"ddd")="Sun",N$13="",$D226=""),"",IF('Leave Planner'!L227="",1,0))</f>
        <v/>
      </c>
      <c r="O226" s="17" t="str">
        <f>IF(OR(TEXT(O$13,"ddd")="Sun",O$13="",$D226=""),"",IF('Leave Planner'!M227="",1,0))</f>
        <v/>
      </c>
      <c r="P226" s="17" t="str">
        <f>IF(OR(TEXT(P$13,"ddd")="Sun",P$13="",$D226=""),"",IF('Leave Planner'!N227="",1,0))</f>
        <v/>
      </c>
      <c r="Q226" s="17" t="str">
        <f>IF(OR(TEXT(Q$13,"ddd")="Sun",Q$13="",$D226=""),"",IF('Leave Planner'!O227="",1,0))</f>
        <v/>
      </c>
      <c r="R226" s="17" t="str">
        <f>IF(OR(TEXT(R$13,"ddd")="Sun",R$13="",$D226=""),"",IF('Leave Planner'!P227="",1,0))</f>
        <v/>
      </c>
      <c r="S226" s="17" t="str">
        <f>IF(OR(TEXT(S$13,"ddd")="Sun",S$13="",$D226=""),"",IF('Leave Planner'!Q227="",1,0))</f>
        <v/>
      </c>
      <c r="T226" s="17" t="str">
        <f>IF(OR(TEXT(T$13,"ddd")="Sun",T$13="",$D226=""),"",IF('Leave Planner'!R227="",1,0))</f>
        <v/>
      </c>
      <c r="U226" s="17" t="str">
        <f>IF(OR(TEXT(U$13,"ddd")="Sun",U$13="",$D226=""),"",IF('Leave Planner'!S227="",1,0))</f>
        <v/>
      </c>
      <c r="V226" s="17" t="str">
        <f>IF(OR(TEXT(V$13,"ddd")="Sun",V$13="",$D226=""),"",IF('Leave Planner'!T227="",1,0))</f>
        <v/>
      </c>
      <c r="W226" s="17" t="str">
        <f>IF(OR(TEXT(W$13,"ddd")="Sun",W$13="",$D226=""),"",IF('Leave Planner'!U227="",1,0))</f>
        <v/>
      </c>
      <c r="X226" s="17" t="str">
        <f>IF(OR(TEXT(X$13,"ddd")="Sun",X$13="",$D226=""),"",IF('Leave Planner'!V227="",1,0))</f>
        <v/>
      </c>
      <c r="Y226" s="17" t="str">
        <f>IF(OR(TEXT(Y$13,"ddd")="Sun",Y$13="",$D226=""),"",IF('Leave Planner'!W227="",1,0))</f>
        <v/>
      </c>
      <c r="Z226" s="17" t="str">
        <f>IF(OR(TEXT(Z$13,"ddd")="Sun",Z$13="",$D226=""),"",IF('Leave Planner'!X227="",1,0))</f>
        <v/>
      </c>
      <c r="AA226" s="17" t="str">
        <f>IF(OR(TEXT(AA$13,"ddd")="Sun",AA$13="",$D226=""),"",IF('Leave Planner'!Y227="",1,0))</f>
        <v/>
      </c>
      <c r="AB226" s="17" t="str">
        <f>IF(OR(TEXT(AB$13,"ddd")="Sun",AB$13="",$D226=""),"",IF('Leave Planner'!Z227="",1,0))</f>
        <v/>
      </c>
      <c r="AC226" s="17" t="str">
        <f>IF(OR(TEXT(AC$13,"ddd")="Sun",AC$13="",$D226=""),"",IF('Leave Planner'!AA227="",1,0))</f>
        <v/>
      </c>
      <c r="AD226" s="17" t="str">
        <f>IF(OR(TEXT(AD$13,"ddd")="Sun",AD$13="",$D226=""),"",IF('Leave Planner'!AB227="",1,0))</f>
        <v/>
      </c>
      <c r="AE226" s="17" t="str">
        <f>IF(OR(TEXT(AE$13,"ddd")="Sun",AE$13="",$D226=""),"",IF('Leave Planner'!AC227="",1,0))</f>
        <v/>
      </c>
      <c r="AF226" s="17" t="str">
        <f>IF(OR(TEXT(AF$13,"ddd")="Sun",AF$13="",$D226=""),"",IF('Leave Planner'!AD227="",1,0))</f>
        <v/>
      </c>
      <c r="AG226" s="17" t="str">
        <f>IF(OR(TEXT(AG$13,"ddd")="Sun",AG$13="",$D226=""),"",IF('Leave Planner'!AE227="",1,0))</f>
        <v/>
      </c>
      <c r="AH226" s="17" t="str">
        <f>IF(OR(TEXT(AH$13,"ddd")="Sun",AH$13="",$D226=""),"",IF('Leave Planner'!AF227="",1,0))</f>
        <v/>
      </c>
      <c r="AI226" s="17" t="str">
        <f>IF(OR(TEXT(AI$13,"ddd")="Sun",AI$13="",$D226=""),"",IF('Leave Planner'!AG227="",1,0))</f>
        <v/>
      </c>
      <c r="AJ226" s="17" t="str">
        <f>IF(OR(TEXT(AJ$13,"ddd")="Sun",AJ$13="",$D226=""),"",IF('Leave Planner'!AH227="",1,0))</f>
        <v/>
      </c>
    </row>
    <row r="227" spans="2:36" x14ac:dyDescent="0.75">
      <c r="B227" s="15"/>
      <c r="C227" s="22"/>
      <c r="D227" s="22"/>
      <c r="E227" s="42" t="str">
        <f t="shared" si="8"/>
        <v/>
      </c>
      <c r="F227" s="17" t="str">
        <f>IF(OR(TEXT(F$13,"ddd")="Sun",F$13="",$D227=""),"",IF('Leave Planner'!D228="",1,0))</f>
        <v/>
      </c>
      <c r="G227" s="17" t="str">
        <f>IF(OR(TEXT(G$13,"ddd")="Sun",G$13="",$D227=""),"",IF('Leave Planner'!E228="",1,0))</f>
        <v/>
      </c>
      <c r="H227" s="17" t="str">
        <f>IF(OR(TEXT(H$13,"ddd")="Sun",H$13="",$D227=""),"",IF('Leave Planner'!F228="",1,0))</f>
        <v/>
      </c>
      <c r="I227" s="17" t="str">
        <f>IF(OR(TEXT(I$13,"ddd")="Sun",I$13="",$D227=""),"",IF('Leave Planner'!G228="",1,0))</f>
        <v/>
      </c>
      <c r="J227" s="17" t="str">
        <f>IF(OR(TEXT(J$13,"ddd")="Sun",J$13="",$D227=""),"",IF('Leave Planner'!H228="",1,0))</f>
        <v/>
      </c>
      <c r="K227" s="17" t="str">
        <f>IF(OR(TEXT(K$13,"ddd")="Sun",K$13="",$D227=""),"",IF('Leave Planner'!I228="",1,0))</f>
        <v/>
      </c>
      <c r="L227" s="17" t="str">
        <f>IF(OR(TEXT(L$13,"ddd")="Sun",L$13="",$D227=""),"",IF('Leave Planner'!J228="",1,0))</f>
        <v/>
      </c>
      <c r="M227" s="17" t="str">
        <f>IF(OR(TEXT(M$13,"ddd")="Sun",M$13="",$D227=""),"",IF('Leave Planner'!K228="",1,0))</f>
        <v/>
      </c>
      <c r="N227" s="17" t="str">
        <f>IF(OR(TEXT(N$13,"ddd")="Sun",N$13="",$D227=""),"",IF('Leave Planner'!L228="",1,0))</f>
        <v/>
      </c>
      <c r="O227" s="17" t="str">
        <f>IF(OR(TEXT(O$13,"ddd")="Sun",O$13="",$D227=""),"",IF('Leave Planner'!M228="",1,0))</f>
        <v/>
      </c>
      <c r="P227" s="17" t="str">
        <f>IF(OR(TEXT(P$13,"ddd")="Sun",P$13="",$D227=""),"",IF('Leave Planner'!N228="",1,0))</f>
        <v/>
      </c>
      <c r="Q227" s="17" t="str">
        <f>IF(OR(TEXT(Q$13,"ddd")="Sun",Q$13="",$D227=""),"",IF('Leave Planner'!O228="",1,0))</f>
        <v/>
      </c>
      <c r="R227" s="17" t="str">
        <f>IF(OR(TEXT(R$13,"ddd")="Sun",R$13="",$D227=""),"",IF('Leave Planner'!P228="",1,0))</f>
        <v/>
      </c>
      <c r="S227" s="17" t="str">
        <f>IF(OR(TEXT(S$13,"ddd")="Sun",S$13="",$D227=""),"",IF('Leave Planner'!Q228="",1,0))</f>
        <v/>
      </c>
      <c r="T227" s="17" t="str">
        <f>IF(OR(TEXT(T$13,"ddd")="Sun",T$13="",$D227=""),"",IF('Leave Planner'!R228="",1,0))</f>
        <v/>
      </c>
      <c r="U227" s="17" t="str">
        <f>IF(OR(TEXT(U$13,"ddd")="Sun",U$13="",$D227=""),"",IF('Leave Planner'!S228="",1,0))</f>
        <v/>
      </c>
      <c r="V227" s="17" t="str">
        <f>IF(OR(TEXT(V$13,"ddd")="Sun",V$13="",$D227=""),"",IF('Leave Planner'!T228="",1,0))</f>
        <v/>
      </c>
      <c r="W227" s="17" t="str">
        <f>IF(OR(TEXT(W$13,"ddd")="Sun",W$13="",$D227=""),"",IF('Leave Planner'!U228="",1,0))</f>
        <v/>
      </c>
      <c r="X227" s="17" t="str">
        <f>IF(OR(TEXT(X$13,"ddd")="Sun",X$13="",$D227=""),"",IF('Leave Planner'!V228="",1,0))</f>
        <v/>
      </c>
      <c r="Y227" s="17" t="str">
        <f>IF(OR(TEXT(Y$13,"ddd")="Sun",Y$13="",$D227=""),"",IF('Leave Planner'!W228="",1,0))</f>
        <v/>
      </c>
      <c r="Z227" s="17" t="str">
        <f>IF(OR(TEXT(Z$13,"ddd")="Sun",Z$13="",$D227=""),"",IF('Leave Planner'!X228="",1,0))</f>
        <v/>
      </c>
      <c r="AA227" s="17" t="str">
        <f>IF(OR(TEXT(AA$13,"ddd")="Sun",AA$13="",$D227=""),"",IF('Leave Planner'!Y228="",1,0))</f>
        <v/>
      </c>
      <c r="AB227" s="17" t="str">
        <f>IF(OR(TEXT(AB$13,"ddd")="Sun",AB$13="",$D227=""),"",IF('Leave Planner'!Z228="",1,0))</f>
        <v/>
      </c>
      <c r="AC227" s="17" t="str">
        <f>IF(OR(TEXT(AC$13,"ddd")="Sun",AC$13="",$D227=""),"",IF('Leave Planner'!AA228="",1,0))</f>
        <v/>
      </c>
      <c r="AD227" s="17" t="str">
        <f>IF(OR(TEXT(AD$13,"ddd")="Sun",AD$13="",$D227=""),"",IF('Leave Planner'!AB228="",1,0))</f>
        <v/>
      </c>
      <c r="AE227" s="17" t="str">
        <f>IF(OR(TEXT(AE$13,"ddd")="Sun",AE$13="",$D227=""),"",IF('Leave Planner'!AC228="",1,0))</f>
        <v/>
      </c>
      <c r="AF227" s="17" t="str">
        <f>IF(OR(TEXT(AF$13,"ddd")="Sun",AF$13="",$D227=""),"",IF('Leave Planner'!AD228="",1,0))</f>
        <v/>
      </c>
      <c r="AG227" s="17" t="str">
        <f>IF(OR(TEXT(AG$13,"ddd")="Sun",AG$13="",$D227=""),"",IF('Leave Planner'!AE228="",1,0))</f>
        <v/>
      </c>
      <c r="AH227" s="17" t="str">
        <f>IF(OR(TEXT(AH$13,"ddd")="Sun",AH$13="",$D227=""),"",IF('Leave Planner'!AF228="",1,0))</f>
        <v/>
      </c>
      <c r="AI227" s="17" t="str">
        <f>IF(OR(TEXT(AI$13,"ddd")="Sun",AI$13="",$D227=""),"",IF('Leave Planner'!AG228="",1,0))</f>
        <v/>
      </c>
      <c r="AJ227" s="17" t="str">
        <f>IF(OR(TEXT(AJ$13,"ddd")="Sun",AJ$13="",$D227=""),"",IF('Leave Planner'!AH228="",1,0))</f>
        <v/>
      </c>
    </row>
    <row r="228" spans="2:36" x14ac:dyDescent="0.75">
      <c r="B228" s="15"/>
      <c r="C228" s="22"/>
      <c r="D228" s="22"/>
      <c r="E228" s="42" t="str">
        <f t="shared" si="8"/>
        <v/>
      </c>
      <c r="F228" s="17" t="str">
        <f>IF(OR(TEXT(F$13,"ddd")="Sun",F$13="",$D228=""),"",IF('Leave Planner'!D229="",1,0))</f>
        <v/>
      </c>
      <c r="G228" s="17" t="str">
        <f>IF(OR(TEXT(G$13,"ddd")="Sun",G$13="",$D228=""),"",IF('Leave Planner'!E229="",1,0))</f>
        <v/>
      </c>
      <c r="H228" s="17" t="str">
        <f>IF(OR(TEXT(H$13,"ddd")="Sun",H$13="",$D228=""),"",IF('Leave Planner'!F229="",1,0))</f>
        <v/>
      </c>
      <c r="I228" s="17" t="str">
        <f>IF(OR(TEXT(I$13,"ddd")="Sun",I$13="",$D228=""),"",IF('Leave Planner'!G229="",1,0))</f>
        <v/>
      </c>
      <c r="J228" s="17" t="str">
        <f>IF(OR(TEXT(J$13,"ddd")="Sun",J$13="",$D228=""),"",IF('Leave Planner'!H229="",1,0))</f>
        <v/>
      </c>
      <c r="K228" s="17" t="str">
        <f>IF(OR(TEXT(K$13,"ddd")="Sun",K$13="",$D228=""),"",IF('Leave Planner'!I229="",1,0))</f>
        <v/>
      </c>
      <c r="L228" s="17" t="str">
        <f>IF(OR(TEXT(L$13,"ddd")="Sun",L$13="",$D228=""),"",IF('Leave Planner'!J229="",1,0))</f>
        <v/>
      </c>
      <c r="M228" s="17" t="str">
        <f>IF(OR(TEXT(M$13,"ddd")="Sun",M$13="",$D228=""),"",IF('Leave Planner'!K229="",1,0))</f>
        <v/>
      </c>
      <c r="N228" s="17" t="str">
        <f>IF(OR(TEXT(N$13,"ddd")="Sun",N$13="",$D228=""),"",IF('Leave Planner'!L229="",1,0))</f>
        <v/>
      </c>
      <c r="O228" s="17" t="str">
        <f>IF(OR(TEXT(O$13,"ddd")="Sun",O$13="",$D228=""),"",IF('Leave Planner'!M229="",1,0))</f>
        <v/>
      </c>
      <c r="P228" s="17" t="str">
        <f>IF(OR(TEXT(P$13,"ddd")="Sun",P$13="",$D228=""),"",IF('Leave Planner'!N229="",1,0))</f>
        <v/>
      </c>
      <c r="Q228" s="17" t="str">
        <f>IF(OR(TEXT(Q$13,"ddd")="Sun",Q$13="",$D228=""),"",IF('Leave Planner'!O229="",1,0))</f>
        <v/>
      </c>
      <c r="R228" s="17" t="str">
        <f>IF(OR(TEXT(R$13,"ddd")="Sun",R$13="",$D228=""),"",IF('Leave Planner'!P229="",1,0))</f>
        <v/>
      </c>
      <c r="S228" s="17" t="str">
        <f>IF(OR(TEXT(S$13,"ddd")="Sun",S$13="",$D228=""),"",IF('Leave Planner'!Q229="",1,0))</f>
        <v/>
      </c>
      <c r="T228" s="17" t="str">
        <f>IF(OR(TEXT(T$13,"ddd")="Sun",T$13="",$D228=""),"",IF('Leave Planner'!R229="",1,0))</f>
        <v/>
      </c>
      <c r="U228" s="17" t="str">
        <f>IF(OR(TEXT(U$13,"ddd")="Sun",U$13="",$D228=""),"",IF('Leave Planner'!S229="",1,0))</f>
        <v/>
      </c>
      <c r="V228" s="17" t="str">
        <f>IF(OR(TEXT(V$13,"ddd")="Sun",V$13="",$D228=""),"",IF('Leave Planner'!T229="",1,0))</f>
        <v/>
      </c>
      <c r="W228" s="17" t="str">
        <f>IF(OR(TEXT(W$13,"ddd")="Sun",W$13="",$D228=""),"",IF('Leave Planner'!U229="",1,0))</f>
        <v/>
      </c>
      <c r="X228" s="17" t="str">
        <f>IF(OR(TEXT(X$13,"ddd")="Sun",X$13="",$D228=""),"",IF('Leave Planner'!V229="",1,0))</f>
        <v/>
      </c>
      <c r="Y228" s="17" t="str">
        <f>IF(OR(TEXT(Y$13,"ddd")="Sun",Y$13="",$D228=""),"",IF('Leave Planner'!W229="",1,0))</f>
        <v/>
      </c>
      <c r="Z228" s="17" t="str">
        <f>IF(OR(TEXT(Z$13,"ddd")="Sun",Z$13="",$D228=""),"",IF('Leave Planner'!X229="",1,0))</f>
        <v/>
      </c>
      <c r="AA228" s="17" t="str">
        <f>IF(OR(TEXT(AA$13,"ddd")="Sun",AA$13="",$D228=""),"",IF('Leave Planner'!Y229="",1,0))</f>
        <v/>
      </c>
      <c r="AB228" s="17" t="str">
        <f>IF(OR(TEXT(AB$13,"ddd")="Sun",AB$13="",$D228=""),"",IF('Leave Planner'!Z229="",1,0))</f>
        <v/>
      </c>
      <c r="AC228" s="17" t="str">
        <f>IF(OR(TEXT(AC$13,"ddd")="Sun",AC$13="",$D228=""),"",IF('Leave Planner'!AA229="",1,0))</f>
        <v/>
      </c>
      <c r="AD228" s="17" t="str">
        <f>IF(OR(TEXT(AD$13,"ddd")="Sun",AD$13="",$D228=""),"",IF('Leave Planner'!AB229="",1,0))</f>
        <v/>
      </c>
      <c r="AE228" s="17" t="str">
        <f>IF(OR(TEXT(AE$13,"ddd")="Sun",AE$13="",$D228=""),"",IF('Leave Planner'!AC229="",1,0))</f>
        <v/>
      </c>
      <c r="AF228" s="17" t="str">
        <f>IF(OR(TEXT(AF$13,"ddd")="Sun",AF$13="",$D228=""),"",IF('Leave Planner'!AD229="",1,0))</f>
        <v/>
      </c>
      <c r="AG228" s="17" t="str">
        <f>IF(OR(TEXT(AG$13,"ddd")="Sun",AG$13="",$D228=""),"",IF('Leave Planner'!AE229="",1,0))</f>
        <v/>
      </c>
      <c r="AH228" s="17" t="str">
        <f>IF(OR(TEXT(AH$13,"ddd")="Sun",AH$13="",$D228=""),"",IF('Leave Planner'!AF229="",1,0))</f>
        <v/>
      </c>
      <c r="AI228" s="17" t="str">
        <f>IF(OR(TEXT(AI$13,"ddd")="Sun",AI$13="",$D228=""),"",IF('Leave Planner'!AG229="",1,0))</f>
        <v/>
      </c>
      <c r="AJ228" s="17" t="str">
        <f>IF(OR(TEXT(AJ$13,"ddd")="Sun",AJ$13="",$D228=""),"",IF('Leave Planner'!AH229="",1,0))</f>
        <v/>
      </c>
    </row>
    <row r="229" spans="2:36" x14ac:dyDescent="0.75">
      <c r="B229" s="15"/>
      <c r="C229" s="22"/>
      <c r="D229" s="22"/>
      <c r="E229" s="42" t="str">
        <f t="shared" si="8"/>
        <v/>
      </c>
      <c r="F229" s="17" t="str">
        <f>IF(OR(TEXT(F$13,"ddd")="Sun",F$13="",$D229=""),"",IF('Leave Planner'!D230="",1,0))</f>
        <v/>
      </c>
      <c r="G229" s="17" t="str">
        <f>IF(OR(TEXT(G$13,"ddd")="Sun",G$13="",$D229=""),"",IF('Leave Planner'!E230="",1,0))</f>
        <v/>
      </c>
      <c r="H229" s="17" t="str">
        <f>IF(OR(TEXT(H$13,"ddd")="Sun",H$13="",$D229=""),"",IF('Leave Planner'!F230="",1,0))</f>
        <v/>
      </c>
      <c r="I229" s="17" t="str">
        <f>IF(OR(TEXT(I$13,"ddd")="Sun",I$13="",$D229=""),"",IF('Leave Planner'!G230="",1,0))</f>
        <v/>
      </c>
      <c r="J229" s="17" t="str">
        <f>IF(OR(TEXT(J$13,"ddd")="Sun",J$13="",$D229=""),"",IF('Leave Planner'!H230="",1,0))</f>
        <v/>
      </c>
      <c r="K229" s="17" t="str">
        <f>IF(OR(TEXT(K$13,"ddd")="Sun",K$13="",$D229=""),"",IF('Leave Planner'!I230="",1,0))</f>
        <v/>
      </c>
      <c r="L229" s="17" t="str">
        <f>IF(OR(TEXT(L$13,"ddd")="Sun",L$13="",$D229=""),"",IF('Leave Planner'!J230="",1,0))</f>
        <v/>
      </c>
      <c r="M229" s="17" t="str">
        <f>IF(OR(TEXT(M$13,"ddd")="Sun",M$13="",$D229=""),"",IF('Leave Planner'!K230="",1,0))</f>
        <v/>
      </c>
      <c r="N229" s="17" t="str">
        <f>IF(OR(TEXT(N$13,"ddd")="Sun",N$13="",$D229=""),"",IF('Leave Planner'!L230="",1,0))</f>
        <v/>
      </c>
      <c r="O229" s="17" t="str">
        <f>IF(OR(TEXT(O$13,"ddd")="Sun",O$13="",$D229=""),"",IF('Leave Planner'!M230="",1,0))</f>
        <v/>
      </c>
      <c r="P229" s="17" t="str">
        <f>IF(OR(TEXT(P$13,"ddd")="Sun",P$13="",$D229=""),"",IF('Leave Planner'!N230="",1,0))</f>
        <v/>
      </c>
      <c r="Q229" s="17" t="str">
        <f>IF(OR(TEXT(Q$13,"ddd")="Sun",Q$13="",$D229=""),"",IF('Leave Planner'!O230="",1,0))</f>
        <v/>
      </c>
      <c r="R229" s="17" t="str">
        <f>IF(OR(TEXT(R$13,"ddd")="Sun",R$13="",$D229=""),"",IF('Leave Planner'!P230="",1,0))</f>
        <v/>
      </c>
      <c r="S229" s="17" t="str">
        <f>IF(OR(TEXT(S$13,"ddd")="Sun",S$13="",$D229=""),"",IF('Leave Planner'!Q230="",1,0))</f>
        <v/>
      </c>
      <c r="T229" s="17" t="str">
        <f>IF(OR(TEXT(T$13,"ddd")="Sun",T$13="",$D229=""),"",IF('Leave Planner'!R230="",1,0))</f>
        <v/>
      </c>
      <c r="U229" s="17" t="str">
        <f>IF(OR(TEXT(U$13,"ddd")="Sun",U$13="",$D229=""),"",IF('Leave Planner'!S230="",1,0))</f>
        <v/>
      </c>
      <c r="V229" s="17" t="str">
        <f>IF(OR(TEXT(V$13,"ddd")="Sun",V$13="",$D229=""),"",IF('Leave Planner'!T230="",1,0))</f>
        <v/>
      </c>
      <c r="W229" s="17" t="str">
        <f>IF(OR(TEXT(W$13,"ddd")="Sun",W$13="",$D229=""),"",IF('Leave Planner'!U230="",1,0))</f>
        <v/>
      </c>
      <c r="X229" s="17" t="str">
        <f>IF(OR(TEXT(X$13,"ddd")="Sun",X$13="",$D229=""),"",IF('Leave Planner'!V230="",1,0))</f>
        <v/>
      </c>
      <c r="Y229" s="17" t="str">
        <f>IF(OR(TEXT(Y$13,"ddd")="Sun",Y$13="",$D229=""),"",IF('Leave Planner'!W230="",1,0))</f>
        <v/>
      </c>
      <c r="Z229" s="17" t="str">
        <f>IF(OR(TEXT(Z$13,"ddd")="Sun",Z$13="",$D229=""),"",IF('Leave Planner'!X230="",1,0))</f>
        <v/>
      </c>
      <c r="AA229" s="17" t="str">
        <f>IF(OR(TEXT(AA$13,"ddd")="Sun",AA$13="",$D229=""),"",IF('Leave Planner'!Y230="",1,0))</f>
        <v/>
      </c>
      <c r="AB229" s="17" t="str">
        <f>IF(OR(TEXT(AB$13,"ddd")="Sun",AB$13="",$D229=""),"",IF('Leave Planner'!Z230="",1,0))</f>
        <v/>
      </c>
      <c r="AC229" s="17" t="str">
        <f>IF(OR(TEXT(AC$13,"ddd")="Sun",AC$13="",$D229=""),"",IF('Leave Planner'!AA230="",1,0))</f>
        <v/>
      </c>
      <c r="AD229" s="17" t="str">
        <f>IF(OR(TEXT(AD$13,"ddd")="Sun",AD$13="",$D229=""),"",IF('Leave Planner'!AB230="",1,0))</f>
        <v/>
      </c>
      <c r="AE229" s="17" t="str">
        <f>IF(OR(TEXT(AE$13,"ddd")="Sun",AE$13="",$D229=""),"",IF('Leave Planner'!AC230="",1,0))</f>
        <v/>
      </c>
      <c r="AF229" s="17" t="str">
        <f>IF(OR(TEXT(AF$13,"ddd")="Sun",AF$13="",$D229=""),"",IF('Leave Planner'!AD230="",1,0))</f>
        <v/>
      </c>
      <c r="AG229" s="17" t="str">
        <f>IF(OR(TEXT(AG$13,"ddd")="Sun",AG$13="",$D229=""),"",IF('Leave Planner'!AE230="",1,0))</f>
        <v/>
      </c>
      <c r="AH229" s="17" t="str">
        <f>IF(OR(TEXT(AH$13,"ddd")="Sun",AH$13="",$D229=""),"",IF('Leave Planner'!AF230="",1,0))</f>
        <v/>
      </c>
      <c r="AI229" s="17" t="str">
        <f>IF(OR(TEXT(AI$13,"ddd")="Sun",AI$13="",$D229=""),"",IF('Leave Planner'!AG230="",1,0))</f>
        <v/>
      </c>
      <c r="AJ229" s="17" t="str">
        <f>IF(OR(TEXT(AJ$13,"ddd")="Sun",AJ$13="",$D229=""),"",IF('Leave Planner'!AH230="",1,0))</f>
        <v/>
      </c>
    </row>
    <row r="230" spans="2:36" x14ac:dyDescent="0.75">
      <c r="B230" s="15"/>
      <c r="C230" s="22"/>
      <c r="D230" s="22"/>
      <c r="E230" s="42" t="str">
        <f t="shared" si="8"/>
        <v/>
      </c>
      <c r="F230" s="17" t="str">
        <f>IF(OR(TEXT(F$13,"ddd")="Sun",F$13="",$D230=""),"",IF('Leave Planner'!D231="",1,0))</f>
        <v/>
      </c>
      <c r="G230" s="17" t="str">
        <f>IF(OR(TEXT(G$13,"ddd")="Sun",G$13="",$D230=""),"",IF('Leave Planner'!E231="",1,0))</f>
        <v/>
      </c>
      <c r="H230" s="17" t="str">
        <f>IF(OR(TEXT(H$13,"ddd")="Sun",H$13="",$D230=""),"",IF('Leave Planner'!F231="",1,0))</f>
        <v/>
      </c>
      <c r="I230" s="17" t="str">
        <f>IF(OR(TEXT(I$13,"ddd")="Sun",I$13="",$D230=""),"",IF('Leave Planner'!G231="",1,0))</f>
        <v/>
      </c>
      <c r="J230" s="17" t="str">
        <f>IF(OR(TEXT(J$13,"ddd")="Sun",J$13="",$D230=""),"",IF('Leave Planner'!H231="",1,0))</f>
        <v/>
      </c>
      <c r="K230" s="17" t="str">
        <f>IF(OR(TEXT(K$13,"ddd")="Sun",K$13="",$D230=""),"",IF('Leave Planner'!I231="",1,0))</f>
        <v/>
      </c>
      <c r="L230" s="17" t="str">
        <f>IF(OR(TEXT(L$13,"ddd")="Sun",L$13="",$D230=""),"",IF('Leave Planner'!J231="",1,0))</f>
        <v/>
      </c>
      <c r="M230" s="17" t="str">
        <f>IF(OR(TEXT(M$13,"ddd")="Sun",M$13="",$D230=""),"",IF('Leave Planner'!K231="",1,0))</f>
        <v/>
      </c>
      <c r="N230" s="17" t="str">
        <f>IF(OR(TEXT(N$13,"ddd")="Sun",N$13="",$D230=""),"",IF('Leave Planner'!L231="",1,0))</f>
        <v/>
      </c>
      <c r="O230" s="17" t="str">
        <f>IF(OR(TEXT(O$13,"ddd")="Sun",O$13="",$D230=""),"",IF('Leave Planner'!M231="",1,0))</f>
        <v/>
      </c>
      <c r="P230" s="17" t="str">
        <f>IF(OR(TEXT(P$13,"ddd")="Sun",P$13="",$D230=""),"",IF('Leave Planner'!N231="",1,0))</f>
        <v/>
      </c>
      <c r="Q230" s="17" t="str">
        <f>IF(OR(TEXT(Q$13,"ddd")="Sun",Q$13="",$D230=""),"",IF('Leave Planner'!O231="",1,0))</f>
        <v/>
      </c>
      <c r="R230" s="17" t="str">
        <f>IF(OR(TEXT(R$13,"ddd")="Sun",R$13="",$D230=""),"",IF('Leave Planner'!P231="",1,0))</f>
        <v/>
      </c>
      <c r="S230" s="17" t="str">
        <f>IF(OR(TEXT(S$13,"ddd")="Sun",S$13="",$D230=""),"",IF('Leave Planner'!Q231="",1,0))</f>
        <v/>
      </c>
      <c r="T230" s="17" t="str">
        <f>IF(OR(TEXT(T$13,"ddd")="Sun",T$13="",$D230=""),"",IF('Leave Planner'!R231="",1,0))</f>
        <v/>
      </c>
      <c r="U230" s="17" t="str">
        <f>IF(OR(TEXT(U$13,"ddd")="Sun",U$13="",$D230=""),"",IF('Leave Planner'!S231="",1,0))</f>
        <v/>
      </c>
      <c r="V230" s="17" t="str">
        <f>IF(OR(TEXT(V$13,"ddd")="Sun",V$13="",$D230=""),"",IF('Leave Planner'!T231="",1,0))</f>
        <v/>
      </c>
      <c r="W230" s="17" t="str">
        <f>IF(OR(TEXT(W$13,"ddd")="Sun",W$13="",$D230=""),"",IF('Leave Planner'!U231="",1,0))</f>
        <v/>
      </c>
      <c r="X230" s="17" t="str">
        <f>IF(OR(TEXT(X$13,"ddd")="Sun",X$13="",$D230=""),"",IF('Leave Planner'!V231="",1,0))</f>
        <v/>
      </c>
      <c r="Y230" s="17" t="str">
        <f>IF(OR(TEXT(Y$13,"ddd")="Sun",Y$13="",$D230=""),"",IF('Leave Planner'!W231="",1,0))</f>
        <v/>
      </c>
      <c r="Z230" s="17" t="str">
        <f>IF(OR(TEXT(Z$13,"ddd")="Sun",Z$13="",$D230=""),"",IF('Leave Planner'!X231="",1,0))</f>
        <v/>
      </c>
      <c r="AA230" s="17" t="str">
        <f>IF(OR(TEXT(AA$13,"ddd")="Sun",AA$13="",$D230=""),"",IF('Leave Planner'!Y231="",1,0))</f>
        <v/>
      </c>
      <c r="AB230" s="17" t="str">
        <f>IF(OR(TEXT(AB$13,"ddd")="Sun",AB$13="",$D230=""),"",IF('Leave Planner'!Z231="",1,0))</f>
        <v/>
      </c>
      <c r="AC230" s="17" t="str">
        <f>IF(OR(TEXT(AC$13,"ddd")="Sun",AC$13="",$D230=""),"",IF('Leave Planner'!AA231="",1,0))</f>
        <v/>
      </c>
      <c r="AD230" s="17" t="str">
        <f>IF(OR(TEXT(AD$13,"ddd")="Sun",AD$13="",$D230=""),"",IF('Leave Planner'!AB231="",1,0))</f>
        <v/>
      </c>
      <c r="AE230" s="17" t="str">
        <f>IF(OR(TEXT(AE$13,"ddd")="Sun",AE$13="",$D230=""),"",IF('Leave Planner'!AC231="",1,0))</f>
        <v/>
      </c>
      <c r="AF230" s="17" t="str">
        <f>IF(OR(TEXT(AF$13,"ddd")="Sun",AF$13="",$D230=""),"",IF('Leave Planner'!AD231="",1,0))</f>
        <v/>
      </c>
      <c r="AG230" s="17" t="str">
        <f>IF(OR(TEXT(AG$13,"ddd")="Sun",AG$13="",$D230=""),"",IF('Leave Planner'!AE231="",1,0))</f>
        <v/>
      </c>
      <c r="AH230" s="17" t="str">
        <f>IF(OR(TEXT(AH$13,"ddd")="Sun",AH$13="",$D230=""),"",IF('Leave Planner'!AF231="",1,0))</f>
        <v/>
      </c>
      <c r="AI230" s="17" t="str">
        <f>IF(OR(TEXT(AI$13,"ddd")="Sun",AI$13="",$D230=""),"",IF('Leave Planner'!AG231="",1,0))</f>
        <v/>
      </c>
      <c r="AJ230" s="17" t="str">
        <f>IF(OR(TEXT(AJ$13,"ddd")="Sun",AJ$13="",$D230=""),"",IF('Leave Planner'!AH231="",1,0))</f>
        <v/>
      </c>
    </row>
    <row r="231" spans="2:36" x14ac:dyDescent="0.75">
      <c r="B231" s="15"/>
      <c r="C231" s="22"/>
      <c r="D231" s="22"/>
      <c r="E231" s="42" t="str">
        <f t="shared" si="8"/>
        <v/>
      </c>
      <c r="F231" s="17" t="str">
        <f>IF(OR(TEXT(F$13,"ddd")="Sun",F$13="",$D231=""),"",IF('Leave Planner'!D232="",1,0))</f>
        <v/>
      </c>
      <c r="G231" s="17" t="str">
        <f>IF(OR(TEXT(G$13,"ddd")="Sun",G$13="",$D231=""),"",IF('Leave Planner'!E232="",1,0))</f>
        <v/>
      </c>
      <c r="H231" s="17" t="str">
        <f>IF(OR(TEXT(H$13,"ddd")="Sun",H$13="",$D231=""),"",IF('Leave Planner'!F232="",1,0))</f>
        <v/>
      </c>
      <c r="I231" s="17" t="str">
        <f>IF(OR(TEXT(I$13,"ddd")="Sun",I$13="",$D231=""),"",IF('Leave Planner'!G232="",1,0))</f>
        <v/>
      </c>
      <c r="J231" s="17" t="str">
        <f>IF(OR(TEXT(J$13,"ddd")="Sun",J$13="",$D231=""),"",IF('Leave Planner'!H232="",1,0))</f>
        <v/>
      </c>
      <c r="K231" s="17" t="str">
        <f>IF(OR(TEXT(K$13,"ddd")="Sun",K$13="",$D231=""),"",IF('Leave Planner'!I232="",1,0))</f>
        <v/>
      </c>
      <c r="L231" s="17" t="str">
        <f>IF(OR(TEXT(L$13,"ddd")="Sun",L$13="",$D231=""),"",IF('Leave Planner'!J232="",1,0))</f>
        <v/>
      </c>
      <c r="M231" s="17" t="str">
        <f>IF(OR(TEXT(M$13,"ddd")="Sun",M$13="",$D231=""),"",IF('Leave Planner'!K232="",1,0))</f>
        <v/>
      </c>
      <c r="N231" s="17" t="str">
        <f>IF(OR(TEXT(N$13,"ddd")="Sun",N$13="",$D231=""),"",IF('Leave Planner'!L232="",1,0))</f>
        <v/>
      </c>
      <c r="O231" s="17" t="str">
        <f>IF(OR(TEXT(O$13,"ddd")="Sun",O$13="",$D231=""),"",IF('Leave Planner'!M232="",1,0))</f>
        <v/>
      </c>
      <c r="P231" s="17" t="str">
        <f>IF(OR(TEXT(P$13,"ddd")="Sun",P$13="",$D231=""),"",IF('Leave Planner'!N232="",1,0))</f>
        <v/>
      </c>
      <c r="Q231" s="17" t="str">
        <f>IF(OR(TEXT(Q$13,"ddd")="Sun",Q$13="",$D231=""),"",IF('Leave Planner'!O232="",1,0))</f>
        <v/>
      </c>
      <c r="R231" s="17" t="str">
        <f>IF(OR(TEXT(R$13,"ddd")="Sun",R$13="",$D231=""),"",IF('Leave Planner'!P232="",1,0))</f>
        <v/>
      </c>
      <c r="S231" s="17" t="str">
        <f>IF(OR(TEXT(S$13,"ddd")="Sun",S$13="",$D231=""),"",IF('Leave Planner'!Q232="",1,0))</f>
        <v/>
      </c>
      <c r="T231" s="17" t="str">
        <f>IF(OR(TEXT(T$13,"ddd")="Sun",T$13="",$D231=""),"",IF('Leave Planner'!R232="",1,0))</f>
        <v/>
      </c>
      <c r="U231" s="17" t="str">
        <f>IF(OR(TEXT(U$13,"ddd")="Sun",U$13="",$D231=""),"",IF('Leave Planner'!S232="",1,0))</f>
        <v/>
      </c>
      <c r="V231" s="17" t="str">
        <f>IF(OR(TEXT(V$13,"ddd")="Sun",V$13="",$D231=""),"",IF('Leave Planner'!T232="",1,0))</f>
        <v/>
      </c>
      <c r="W231" s="17" t="str">
        <f>IF(OR(TEXT(W$13,"ddd")="Sun",W$13="",$D231=""),"",IF('Leave Planner'!U232="",1,0))</f>
        <v/>
      </c>
      <c r="X231" s="17" t="str">
        <f>IF(OR(TEXT(X$13,"ddd")="Sun",X$13="",$D231=""),"",IF('Leave Planner'!V232="",1,0))</f>
        <v/>
      </c>
      <c r="Y231" s="17" t="str">
        <f>IF(OR(TEXT(Y$13,"ddd")="Sun",Y$13="",$D231=""),"",IF('Leave Planner'!W232="",1,0))</f>
        <v/>
      </c>
      <c r="Z231" s="17" t="str">
        <f>IF(OR(TEXT(Z$13,"ddd")="Sun",Z$13="",$D231=""),"",IF('Leave Planner'!X232="",1,0))</f>
        <v/>
      </c>
      <c r="AA231" s="17" t="str">
        <f>IF(OR(TEXT(AA$13,"ddd")="Sun",AA$13="",$D231=""),"",IF('Leave Planner'!Y232="",1,0))</f>
        <v/>
      </c>
      <c r="AB231" s="17" t="str">
        <f>IF(OR(TEXT(AB$13,"ddd")="Sun",AB$13="",$D231=""),"",IF('Leave Planner'!Z232="",1,0))</f>
        <v/>
      </c>
      <c r="AC231" s="17" t="str">
        <f>IF(OR(TEXT(AC$13,"ddd")="Sun",AC$13="",$D231=""),"",IF('Leave Planner'!AA232="",1,0))</f>
        <v/>
      </c>
      <c r="AD231" s="17" t="str">
        <f>IF(OR(TEXT(AD$13,"ddd")="Sun",AD$13="",$D231=""),"",IF('Leave Planner'!AB232="",1,0))</f>
        <v/>
      </c>
      <c r="AE231" s="17" t="str">
        <f>IF(OR(TEXT(AE$13,"ddd")="Sun",AE$13="",$D231=""),"",IF('Leave Planner'!AC232="",1,0))</f>
        <v/>
      </c>
      <c r="AF231" s="17" t="str">
        <f>IF(OR(TEXT(AF$13,"ddd")="Sun",AF$13="",$D231=""),"",IF('Leave Planner'!AD232="",1,0))</f>
        <v/>
      </c>
      <c r="AG231" s="17" t="str">
        <f>IF(OR(TEXT(AG$13,"ddd")="Sun",AG$13="",$D231=""),"",IF('Leave Planner'!AE232="",1,0))</f>
        <v/>
      </c>
      <c r="AH231" s="17" t="str">
        <f>IF(OR(TEXT(AH$13,"ddd")="Sun",AH$13="",$D231=""),"",IF('Leave Planner'!AF232="",1,0))</f>
        <v/>
      </c>
      <c r="AI231" s="17" t="str">
        <f>IF(OR(TEXT(AI$13,"ddd")="Sun",AI$13="",$D231=""),"",IF('Leave Planner'!AG232="",1,0))</f>
        <v/>
      </c>
      <c r="AJ231" s="17" t="str">
        <f>IF(OR(TEXT(AJ$13,"ddd")="Sun",AJ$13="",$D231=""),"",IF('Leave Planner'!AH232="",1,0))</f>
        <v/>
      </c>
    </row>
    <row r="232" spans="2:36" x14ac:dyDescent="0.75">
      <c r="B232" s="15"/>
      <c r="C232" s="22"/>
      <c r="D232" s="22"/>
      <c r="E232" s="42" t="str">
        <f t="shared" si="8"/>
        <v/>
      </c>
      <c r="F232" s="17" t="str">
        <f>IF(OR(TEXT(F$13,"ddd")="Sun",F$13="",$D232=""),"",IF('Leave Planner'!D233="",1,0))</f>
        <v/>
      </c>
      <c r="G232" s="17" t="str">
        <f>IF(OR(TEXT(G$13,"ddd")="Sun",G$13="",$D232=""),"",IF('Leave Planner'!E233="",1,0))</f>
        <v/>
      </c>
      <c r="H232" s="17" t="str">
        <f>IF(OR(TEXT(H$13,"ddd")="Sun",H$13="",$D232=""),"",IF('Leave Planner'!F233="",1,0))</f>
        <v/>
      </c>
      <c r="I232" s="17" t="str">
        <f>IF(OR(TEXT(I$13,"ddd")="Sun",I$13="",$D232=""),"",IF('Leave Planner'!G233="",1,0))</f>
        <v/>
      </c>
      <c r="J232" s="17" t="str">
        <f>IF(OR(TEXT(J$13,"ddd")="Sun",J$13="",$D232=""),"",IF('Leave Planner'!H233="",1,0))</f>
        <v/>
      </c>
      <c r="K232" s="17" t="str">
        <f>IF(OR(TEXT(K$13,"ddd")="Sun",K$13="",$D232=""),"",IF('Leave Planner'!I233="",1,0))</f>
        <v/>
      </c>
      <c r="L232" s="17" t="str">
        <f>IF(OR(TEXT(L$13,"ddd")="Sun",L$13="",$D232=""),"",IF('Leave Planner'!J233="",1,0))</f>
        <v/>
      </c>
      <c r="M232" s="17" t="str">
        <f>IF(OR(TEXT(M$13,"ddd")="Sun",M$13="",$D232=""),"",IF('Leave Planner'!K233="",1,0))</f>
        <v/>
      </c>
      <c r="N232" s="17" t="str">
        <f>IF(OR(TEXT(N$13,"ddd")="Sun",N$13="",$D232=""),"",IF('Leave Planner'!L233="",1,0))</f>
        <v/>
      </c>
      <c r="O232" s="17" t="str">
        <f>IF(OR(TEXT(O$13,"ddd")="Sun",O$13="",$D232=""),"",IF('Leave Planner'!M233="",1,0))</f>
        <v/>
      </c>
      <c r="P232" s="17" t="str">
        <f>IF(OR(TEXT(P$13,"ddd")="Sun",P$13="",$D232=""),"",IF('Leave Planner'!N233="",1,0))</f>
        <v/>
      </c>
      <c r="Q232" s="17" t="str">
        <f>IF(OR(TEXT(Q$13,"ddd")="Sun",Q$13="",$D232=""),"",IF('Leave Planner'!O233="",1,0))</f>
        <v/>
      </c>
      <c r="R232" s="17" t="str">
        <f>IF(OR(TEXT(R$13,"ddd")="Sun",R$13="",$D232=""),"",IF('Leave Planner'!P233="",1,0))</f>
        <v/>
      </c>
      <c r="S232" s="17" t="str">
        <f>IF(OR(TEXT(S$13,"ddd")="Sun",S$13="",$D232=""),"",IF('Leave Planner'!Q233="",1,0))</f>
        <v/>
      </c>
      <c r="T232" s="17" t="str">
        <f>IF(OR(TEXT(T$13,"ddd")="Sun",T$13="",$D232=""),"",IF('Leave Planner'!R233="",1,0))</f>
        <v/>
      </c>
      <c r="U232" s="17" t="str">
        <f>IF(OR(TEXT(U$13,"ddd")="Sun",U$13="",$D232=""),"",IF('Leave Planner'!S233="",1,0))</f>
        <v/>
      </c>
      <c r="V232" s="17" t="str">
        <f>IF(OR(TEXT(V$13,"ddd")="Sun",V$13="",$D232=""),"",IF('Leave Planner'!T233="",1,0))</f>
        <v/>
      </c>
      <c r="W232" s="17" t="str">
        <f>IF(OR(TEXT(W$13,"ddd")="Sun",W$13="",$D232=""),"",IF('Leave Planner'!U233="",1,0))</f>
        <v/>
      </c>
      <c r="X232" s="17" t="str">
        <f>IF(OR(TEXT(X$13,"ddd")="Sun",X$13="",$D232=""),"",IF('Leave Planner'!V233="",1,0))</f>
        <v/>
      </c>
      <c r="Y232" s="17" t="str">
        <f>IF(OR(TEXT(Y$13,"ddd")="Sun",Y$13="",$D232=""),"",IF('Leave Planner'!W233="",1,0))</f>
        <v/>
      </c>
      <c r="Z232" s="17" t="str">
        <f>IF(OR(TEXT(Z$13,"ddd")="Sun",Z$13="",$D232=""),"",IF('Leave Planner'!X233="",1,0))</f>
        <v/>
      </c>
      <c r="AA232" s="17" t="str">
        <f>IF(OR(TEXT(AA$13,"ddd")="Sun",AA$13="",$D232=""),"",IF('Leave Planner'!Y233="",1,0))</f>
        <v/>
      </c>
      <c r="AB232" s="17" t="str">
        <f>IF(OR(TEXT(AB$13,"ddd")="Sun",AB$13="",$D232=""),"",IF('Leave Planner'!Z233="",1,0))</f>
        <v/>
      </c>
      <c r="AC232" s="17" t="str">
        <f>IF(OR(TEXT(AC$13,"ddd")="Sun",AC$13="",$D232=""),"",IF('Leave Planner'!AA233="",1,0))</f>
        <v/>
      </c>
      <c r="AD232" s="17" t="str">
        <f>IF(OR(TEXT(AD$13,"ddd")="Sun",AD$13="",$D232=""),"",IF('Leave Planner'!AB233="",1,0))</f>
        <v/>
      </c>
      <c r="AE232" s="17" t="str">
        <f>IF(OR(TEXT(AE$13,"ddd")="Sun",AE$13="",$D232=""),"",IF('Leave Planner'!AC233="",1,0))</f>
        <v/>
      </c>
      <c r="AF232" s="17" t="str">
        <f>IF(OR(TEXT(AF$13,"ddd")="Sun",AF$13="",$D232=""),"",IF('Leave Planner'!AD233="",1,0))</f>
        <v/>
      </c>
      <c r="AG232" s="17" t="str">
        <f>IF(OR(TEXT(AG$13,"ddd")="Sun",AG$13="",$D232=""),"",IF('Leave Planner'!AE233="",1,0))</f>
        <v/>
      </c>
      <c r="AH232" s="17" t="str">
        <f>IF(OR(TEXT(AH$13,"ddd")="Sun",AH$13="",$D232=""),"",IF('Leave Planner'!AF233="",1,0))</f>
        <v/>
      </c>
      <c r="AI232" s="17" t="str">
        <f>IF(OR(TEXT(AI$13,"ddd")="Sun",AI$13="",$D232=""),"",IF('Leave Planner'!AG233="",1,0))</f>
        <v/>
      </c>
      <c r="AJ232" s="17" t="str">
        <f>IF(OR(TEXT(AJ$13,"ddd")="Sun",AJ$13="",$D232=""),"",IF('Leave Planner'!AH233="",1,0))</f>
        <v/>
      </c>
    </row>
    <row r="233" spans="2:36" x14ac:dyDescent="0.75">
      <c r="B233" s="15"/>
      <c r="C233" s="22"/>
      <c r="D233" s="22"/>
      <c r="E233" s="42" t="str">
        <f t="shared" si="8"/>
        <v/>
      </c>
      <c r="F233" s="17" t="str">
        <f>IF(OR(TEXT(F$13,"ddd")="Sun",F$13="",$D233=""),"",IF('Leave Planner'!D234="",1,0))</f>
        <v/>
      </c>
      <c r="G233" s="17" t="str">
        <f>IF(OR(TEXT(G$13,"ddd")="Sun",G$13="",$D233=""),"",IF('Leave Planner'!E234="",1,0))</f>
        <v/>
      </c>
      <c r="H233" s="17" t="str">
        <f>IF(OR(TEXT(H$13,"ddd")="Sun",H$13="",$D233=""),"",IF('Leave Planner'!F234="",1,0))</f>
        <v/>
      </c>
      <c r="I233" s="17" t="str">
        <f>IF(OR(TEXT(I$13,"ddd")="Sun",I$13="",$D233=""),"",IF('Leave Planner'!G234="",1,0))</f>
        <v/>
      </c>
      <c r="J233" s="17" t="str">
        <f>IF(OR(TEXT(J$13,"ddd")="Sun",J$13="",$D233=""),"",IF('Leave Planner'!H234="",1,0))</f>
        <v/>
      </c>
      <c r="K233" s="17" t="str">
        <f>IF(OR(TEXT(K$13,"ddd")="Sun",K$13="",$D233=""),"",IF('Leave Planner'!I234="",1,0))</f>
        <v/>
      </c>
      <c r="L233" s="17" t="str">
        <f>IF(OR(TEXT(L$13,"ddd")="Sun",L$13="",$D233=""),"",IF('Leave Planner'!J234="",1,0))</f>
        <v/>
      </c>
      <c r="M233" s="17" t="str">
        <f>IF(OR(TEXT(M$13,"ddd")="Sun",M$13="",$D233=""),"",IF('Leave Planner'!K234="",1,0))</f>
        <v/>
      </c>
      <c r="N233" s="17" t="str">
        <f>IF(OR(TEXT(N$13,"ddd")="Sun",N$13="",$D233=""),"",IF('Leave Planner'!L234="",1,0))</f>
        <v/>
      </c>
      <c r="O233" s="17" t="str">
        <f>IF(OR(TEXT(O$13,"ddd")="Sun",O$13="",$D233=""),"",IF('Leave Planner'!M234="",1,0))</f>
        <v/>
      </c>
      <c r="P233" s="17" t="str">
        <f>IF(OR(TEXT(P$13,"ddd")="Sun",P$13="",$D233=""),"",IF('Leave Planner'!N234="",1,0))</f>
        <v/>
      </c>
      <c r="Q233" s="17" t="str">
        <f>IF(OR(TEXT(Q$13,"ddd")="Sun",Q$13="",$D233=""),"",IF('Leave Planner'!O234="",1,0))</f>
        <v/>
      </c>
      <c r="R233" s="17" t="str">
        <f>IF(OR(TEXT(R$13,"ddd")="Sun",R$13="",$D233=""),"",IF('Leave Planner'!P234="",1,0))</f>
        <v/>
      </c>
      <c r="S233" s="17" t="str">
        <f>IF(OR(TEXT(S$13,"ddd")="Sun",S$13="",$D233=""),"",IF('Leave Planner'!Q234="",1,0))</f>
        <v/>
      </c>
      <c r="T233" s="17" t="str">
        <f>IF(OR(TEXT(T$13,"ddd")="Sun",T$13="",$D233=""),"",IF('Leave Planner'!R234="",1,0))</f>
        <v/>
      </c>
      <c r="U233" s="17" t="str">
        <f>IF(OR(TEXT(U$13,"ddd")="Sun",U$13="",$D233=""),"",IF('Leave Planner'!S234="",1,0))</f>
        <v/>
      </c>
      <c r="V233" s="17" t="str">
        <f>IF(OR(TEXT(V$13,"ddd")="Sun",V$13="",$D233=""),"",IF('Leave Planner'!T234="",1,0))</f>
        <v/>
      </c>
      <c r="W233" s="17" t="str">
        <f>IF(OR(TEXT(W$13,"ddd")="Sun",W$13="",$D233=""),"",IF('Leave Planner'!U234="",1,0))</f>
        <v/>
      </c>
      <c r="X233" s="17" t="str">
        <f>IF(OR(TEXT(X$13,"ddd")="Sun",X$13="",$D233=""),"",IF('Leave Planner'!V234="",1,0))</f>
        <v/>
      </c>
      <c r="Y233" s="17" t="str">
        <f>IF(OR(TEXT(Y$13,"ddd")="Sun",Y$13="",$D233=""),"",IF('Leave Planner'!W234="",1,0))</f>
        <v/>
      </c>
      <c r="Z233" s="17" t="str">
        <f>IF(OR(TEXT(Z$13,"ddd")="Sun",Z$13="",$D233=""),"",IF('Leave Planner'!X234="",1,0))</f>
        <v/>
      </c>
      <c r="AA233" s="17" t="str">
        <f>IF(OR(TEXT(AA$13,"ddd")="Sun",AA$13="",$D233=""),"",IF('Leave Planner'!Y234="",1,0))</f>
        <v/>
      </c>
      <c r="AB233" s="17" t="str">
        <f>IF(OR(TEXT(AB$13,"ddd")="Sun",AB$13="",$D233=""),"",IF('Leave Planner'!Z234="",1,0))</f>
        <v/>
      </c>
      <c r="AC233" s="17" t="str">
        <f>IF(OR(TEXT(AC$13,"ddd")="Sun",AC$13="",$D233=""),"",IF('Leave Planner'!AA234="",1,0))</f>
        <v/>
      </c>
      <c r="AD233" s="17" t="str">
        <f>IF(OR(TEXT(AD$13,"ddd")="Sun",AD$13="",$D233=""),"",IF('Leave Planner'!AB234="",1,0))</f>
        <v/>
      </c>
      <c r="AE233" s="17" t="str">
        <f>IF(OR(TEXT(AE$13,"ddd")="Sun",AE$13="",$D233=""),"",IF('Leave Planner'!AC234="",1,0))</f>
        <v/>
      </c>
      <c r="AF233" s="17" t="str">
        <f>IF(OR(TEXT(AF$13,"ddd")="Sun",AF$13="",$D233=""),"",IF('Leave Planner'!AD234="",1,0))</f>
        <v/>
      </c>
      <c r="AG233" s="17" t="str">
        <f>IF(OR(TEXT(AG$13,"ddd")="Sun",AG$13="",$D233=""),"",IF('Leave Planner'!AE234="",1,0))</f>
        <v/>
      </c>
      <c r="AH233" s="17" t="str">
        <f>IF(OR(TEXT(AH$13,"ddd")="Sun",AH$13="",$D233=""),"",IF('Leave Planner'!AF234="",1,0))</f>
        <v/>
      </c>
      <c r="AI233" s="17" t="str">
        <f>IF(OR(TEXT(AI$13,"ddd")="Sun",AI$13="",$D233=""),"",IF('Leave Planner'!AG234="",1,0))</f>
        <v/>
      </c>
      <c r="AJ233" s="17" t="str">
        <f>IF(OR(TEXT(AJ$13,"ddd")="Sun",AJ$13="",$D233=""),"",IF('Leave Planner'!AH234="",1,0))</f>
        <v/>
      </c>
    </row>
    <row r="234" spans="2:36" x14ac:dyDescent="0.75">
      <c r="B234" s="15"/>
      <c r="C234" s="22"/>
      <c r="D234" s="22"/>
      <c r="E234" s="42" t="str">
        <f t="shared" si="8"/>
        <v/>
      </c>
      <c r="F234" s="17" t="str">
        <f>IF(OR(TEXT(F$13,"ddd")="Sun",F$13="",$D234=""),"",IF('Leave Planner'!D235="",1,0))</f>
        <v/>
      </c>
      <c r="G234" s="17" t="str">
        <f>IF(OR(TEXT(G$13,"ddd")="Sun",G$13="",$D234=""),"",IF('Leave Planner'!E235="",1,0))</f>
        <v/>
      </c>
      <c r="H234" s="17" t="str">
        <f>IF(OR(TEXT(H$13,"ddd")="Sun",H$13="",$D234=""),"",IF('Leave Planner'!F235="",1,0))</f>
        <v/>
      </c>
      <c r="I234" s="17" t="str">
        <f>IF(OR(TEXT(I$13,"ddd")="Sun",I$13="",$D234=""),"",IF('Leave Planner'!G235="",1,0))</f>
        <v/>
      </c>
      <c r="J234" s="17" t="str">
        <f>IF(OR(TEXT(J$13,"ddd")="Sun",J$13="",$D234=""),"",IF('Leave Planner'!H235="",1,0))</f>
        <v/>
      </c>
      <c r="K234" s="17" t="str">
        <f>IF(OR(TEXT(K$13,"ddd")="Sun",K$13="",$D234=""),"",IF('Leave Planner'!I235="",1,0))</f>
        <v/>
      </c>
      <c r="L234" s="17" t="str">
        <f>IF(OR(TEXT(L$13,"ddd")="Sun",L$13="",$D234=""),"",IF('Leave Planner'!J235="",1,0))</f>
        <v/>
      </c>
      <c r="M234" s="17" t="str">
        <f>IF(OR(TEXT(M$13,"ddd")="Sun",M$13="",$D234=""),"",IF('Leave Planner'!K235="",1,0))</f>
        <v/>
      </c>
      <c r="N234" s="17" t="str">
        <f>IF(OR(TEXT(N$13,"ddd")="Sun",N$13="",$D234=""),"",IF('Leave Planner'!L235="",1,0))</f>
        <v/>
      </c>
      <c r="O234" s="17" t="str">
        <f>IF(OR(TEXT(O$13,"ddd")="Sun",O$13="",$D234=""),"",IF('Leave Planner'!M235="",1,0))</f>
        <v/>
      </c>
      <c r="P234" s="17" t="str">
        <f>IF(OR(TEXT(P$13,"ddd")="Sun",P$13="",$D234=""),"",IF('Leave Planner'!N235="",1,0))</f>
        <v/>
      </c>
      <c r="Q234" s="17" t="str">
        <f>IF(OR(TEXT(Q$13,"ddd")="Sun",Q$13="",$D234=""),"",IF('Leave Planner'!O235="",1,0))</f>
        <v/>
      </c>
      <c r="R234" s="17" t="str">
        <f>IF(OR(TEXT(R$13,"ddd")="Sun",R$13="",$D234=""),"",IF('Leave Planner'!P235="",1,0))</f>
        <v/>
      </c>
      <c r="S234" s="17" t="str">
        <f>IF(OR(TEXT(S$13,"ddd")="Sun",S$13="",$D234=""),"",IF('Leave Planner'!Q235="",1,0))</f>
        <v/>
      </c>
      <c r="T234" s="17" t="str">
        <f>IF(OR(TEXT(T$13,"ddd")="Sun",T$13="",$D234=""),"",IF('Leave Planner'!R235="",1,0))</f>
        <v/>
      </c>
      <c r="U234" s="17" t="str">
        <f>IF(OR(TEXT(U$13,"ddd")="Sun",U$13="",$D234=""),"",IF('Leave Planner'!S235="",1,0))</f>
        <v/>
      </c>
      <c r="V234" s="17" t="str">
        <f>IF(OR(TEXT(V$13,"ddd")="Sun",V$13="",$D234=""),"",IF('Leave Planner'!T235="",1,0))</f>
        <v/>
      </c>
      <c r="W234" s="17" t="str">
        <f>IF(OR(TEXT(W$13,"ddd")="Sun",W$13="",$D234=""),"",IF('Leave Planner'!U235="",1,0))</f>
        <v/>
      </c>
      <c r="X234" s="17" t="str">
        <f>IF(OR(TEXT(X$13,"ddd")="Sun",X$13="",$D234=""),"",IF('Leave Planner'!V235="",1,0))</f>
        <v/>
      </c>
      <c r="Y234" s="17" t="str">
        <f>IF(OR(TEXT(Y$13,"ddd")="Sun",Y$13="",$D234=""),"",IF('Leave Planner'!W235="",1,0))</f>
        <v/>
      </c>
      <c r="Z234" s="17" t="str">
        <f>IF(OR(TEXT(Z$13,"ddd")="Sun",Z$13="",$D234=""),"",IF('Leave Planner'!X235="",1,0))</f>
        <v/>
      </c>
      <c r="AA234" s="17" t="str">
        <f>IF(OR(TEXT(AA$13,"ddd")="Sun",AA$13="",$D234=""),"",IF('Leave Planner'!Y235="",1,0))</f>
        <v/>
      </c>
      <c r="AB234" s="17" t="str">
        <f>IF(OR(TEXT(AB$13,"ddd")="Sun",AB$13="",$D234=""),"",IF('Leave Planner'!Z235="",1,0))</f>
        <v/>
      </c>
      <c r="AC234" s="17" t="str">
        <f>IF(OR(TEXT(AC$13,"ddd")="Sun",AC$13="",$D234=""),"",IF('Leave Planner'!AA235="",1,0))</f>
        <v/>
      </c>
      <c r="AD234" s="17" t="str">
        <f>IF(OR(TEXT(AD$13,"ddd")="Sun",AD$13="",$D234=""),"",IF('Leave Planner'!AB235="",1,0))</f>
        <v/>
      </c>
      <c r="AE234" s="17" t="str">
        <f>IF(OR(TEXT(AE$13,"ddd")="Sun",AE$13="",$D234=""),"",IF('Leave Planner'!AC235="",1,0))</f>
        <v/>
      </c>
      <c r="AF234" s="17" t="str">
        <f>IF(OR(TEXT(AF$13,"ddd")="Sun",AF$13="",$D234=""),"",IF('Leave Planner'!AD235="",1,0))</f>
        <v/>
      </c>
      <c r="AG234" s="17" t="str">
        <f>IF(OR(TEXT(AG$13,"ddd")="Sun",AG$13="",$D234=""),"",IF('Leave Planner'!AE235="",1,0))</f>
        <v/>
      </c>
      <c r="AH234" s="17" t="str">
        <f>IF(OR(TEXT(AH$13,"ddd")="Sun",AH$13="",$D234=""),"",IF('Leave Planner'!AF235="",1,0))</f>
        <v/>
      </c>
      <c r="AI234" s="17" t="str">
        <f>IF(OR(TEXT(AI$13,"ddd")="Sun",AI$13="",$D234=""),"",IF('Leave Planner'!AG235="",1,0))</f>
        <v/>
      </c>
      <c r="AJ234" s="17" t="str">
        <f>IF(OR(TEXT(AJ$13,"ddd")="Sun",AJ$13="",$D234=""),"",IF('Leave Planner'!AH235="",1,0))</f>
        <v/>
      </c>
    </row>
    <row r="235" spans="2:36" x14ac:dyDescent="0.75">
      <c r="B235" s="15"/>
      <c r="C235" s="22"/>
      <c r="D235" s="22"/>
      <c r="E235" s="42" t="str">
        <f t="shared" si="8"/>
        <v/>
      </c>
      <c r="F235" s="17" t="str">
        <f>IF(OR(TEXT(F$13,"ddd")="Sun",F$13="",$D235=""),"",IF('Leave Planner'!D236="",1,0))</f>
        <v/>
      </c>
      <c r="G235" s="17" t="str">
        <f>IF(OR(TEXT(G$13,"ddd")="Sun",G$13="",$D235=""),"",IF('Leave Planner'!E236="",1,0))</f>
        <v/>
      </c>
      <c r="H235" s="17" t="str">
        <f>IF(OR(TEXT(H$13,"ddd")="Sun",H$13="",$D235=""),"",IF('Leave Planner'!F236="",1,0))</f>
        <v/>
      </c>
      <c r="I235" s="17" t="str">
        <f>IF(OR(TEXT(I$13,"ddd")="Sun",I$13="",$D235=""),"",IF('Leave Planner'!G236="",1,0))</f>
        <v/>
      </c>
      <c r="J235" s="17" t="str">
        <f>IF(OR(TEXT(J$13,"ddd")="Sun",J$13="",$D235=""),"",IF('Leave Planner'!H236="",1,0))</f>
        <v/>
      </c>
      <c r="K235" s="17" t="str">
        <f>IF(OR(TEXT(K$13,"ddd")="Sun",K$13="",$D235=""),"",IF('Leave Planner'!I236="",1,0))</f>
        <v/>
      </c>
      <c r="L235" s="17" t="str">
        <f>IF(OR(TEXT(L$13,"ddd")="Sun",L$13="",$D235=""),"",IF('Leave Planner'!J236="",1,0))</f>
        <v/>
      </c>
      <c r="M235" s="17" t="str">
        <f>IF(OR(TEXT(M$13,"ddd")="Sun",M$13="",$D235=""),"",IF('Leave Planner'!K236="",1,0))</f>
        <v/>
      </c>
      <c r="N235" s="17" t="str">
        <f>IF(OR(TEXT(N$13,"ddd")="Sun",N$13="",$D235=""),"",IF('Leave Planner'!L236="",1,0))</f>
        <v/>
      </c>
      <c r="O235" s="17" t="str">
        <f>IF(OR(TEXT(O$13,"ddd")="Sun",O$13="",$D235=""),"",IF('Leave Planner'!M236="",1,0))</f>
        <v/>
      </c>
      <c r="P235" s="17" t="str">
        <f>IF(OR(TEXT(P$13,"ddd")="Sun",P$13="",$D235=""),"",IF('Leave Planner'!N236="",1,0))</f>
        <v/>
      </c>
      <c r="Q235" s="17" t="str">
        <f>IF(OR(TEXT(Q$13,"ddd")="Sun",Q$13="",$D235=""),"",IF('Leave Planner'!O236="",1,0))</f>
        <v/>
      </c>
      <c r="R235" s="17" t="str">
        <f>IF(OR(TEXT(R$13,"ddd")="Sun",R$13="",$D235=""),"",IF('Leave Planner'!P236="",1,0))</f>
        <v/>
      </c>
      <c r="S235" s="17" t="str">
        <f>IF(OR(TEXT(S$13,"ddd")="Sun",S$13="",$D235=""),"",IF('Leave Planner'!Q236="",1,0))</f>
        <v/>
      </c>
      <c r="T235" s="17" t="str">
        <f>IF(OR(TEXT(T$13,"ddd")="Sun",T$13="",$D235=""),"",IF('Leave Planner'!R236="",1,0))</f>
        <v/>
      </c>
      <c r="U235" s="17" t="str">
        <f>IF(OR(TEXT(U$13,"ddd")="Sun",U$13="",$D235=""),"",IF('Leave Planner'!S236="",1,0))</f>
        <v/>
      </c>
      <c r="V235" s="17" t="str">
        <f>IF(OR(TEXT(V$13,"ddd")="Sun",V$13="",$D235=""),"",IF('Leave Planner'!T236="",1,0))</f>
        <v/>
      </c>
      <c r="W235" s="17" t="str">
        <f>IF(OR(TEXT(W$13,"ddd")="Sun",W$13="",$D235=""),"",IF('Leave Planner'!U236="",1,0))</f>
        <v/>
      </c>
      <c r="X235" s="17" t="str">
        <f>IF(OR(TEXT(X$13,"ddd")="Sun",X$13="",$D235=""),"",IF('Leave Planner'!V236="",1,0))</f>
        <v/>
      </c>
      <c r="Y235" s="17" t="str">
        <f>IF(OR(TEXT(Y$13,"ddd")="Sun",Y$13="",$D235=""),"",IF('Leave Planner'!W236="",1,0))</f>
        <v/>
      </c>
      <c r="Z235" s="17" t="str">
        <f>IF(OR(TEXT(Z$13,"ddd")="Sun",Z$13="",$D235=""),"",IF('Leave Planner'!X236="",1,0))</f>
        <v/>
      </c>
      <c r="AA235" s="17" t="str">
        <f>IF(OR(TEXT(AA$13,"ddd")="Sun",AA$13="",$D235=""),"",IF('Leave Planner'!Y236="",1,0))</f>
        <v/>
      </c>
      <c r="AB235" s="17" t="str">
        <f>IF(OR(TEXT(AB$13,"ddd")="Sun",AB$13="",$D235=""),"",IF('Leave Planner'!Z236="",1,0))</f>
        <v/>
      </c>
      <c r="AC235" s="17" t="str">
        <f>IF(OR(TEXT(AC$13,"ddd")="Sun",AC$13="",$D235=""),"",IF('Leave Planner'!AA236="",1,0))</f>
        <v/>
      </c>
      <c r="AD235" s="17" t="str">
        <f>IF(OR(TEXT(AD$13,"ddd")="Sun",AD$13="",$D235=""),"",IF('Leave Planner'!AB236="",1,0))</f>
        <v/>
      </c>
      <c r="AE235" s="17" t="str">
        <f>IF(OR(TEXT(AE$13,"ddd")="Sun",AE$13="",$D235=""),"",IF('Leave Planner'!AC236="",1,0))</f>
        <v/>
      </c>
      <c r="AF235" s="17" t="str">
        <f>IF(OR(TEXT(AF$13,"ddd")="Sun",AF$13="",$D235=""),"",IF('Leave Planner'!AD236="",1,0))</f>
        <v/>
      </c>
      <c r="AG235" s="17" t="str">
        <f>IF(OR(TEXT(AG$13,"ddd")="Sun",AG$13="",$D235=""),"",IF('Leave Planner'!AE236="",1,0))</f>
        <v/>
      </c>
      <c r="AH235" s="17" t="str">
        <f>IF(OR(TEXT(AH$13,"ddd")="Sun",AH$13="",$D235=""),"",IF('Leave Planner'!AF236="",1,0))</f>
        <v/>
      </c>
      <c r="AI235" s="17" t="str">
        <f>IF(OR(TEXT(AI$13,"ddd")="Sun",AI$13="",$D235=""),"",IF('Leave Planner'!AG236="",1,0))</f>
        <v/>
      </c>
      <c r="AJ235" s="17" t="str">
        <f>IF(OR(TEXT(AJ$13,"ddd")="Sun",AJ$13="",$D235=""),"",IF('Leave Planner'!AH236="",1,0))</f>
        <v/>
      </c>
    </row>
    <row r="236" spans="2:36" x14ac:dyDescent="0.75">
      <c r="B236" s="15"/>
      <c r="C236" s="22"/>
      <c r="D236" s="22"/>
      <c r="E236" s="42" t="str">
        <f t="shared" si="8"/>
        <v/>
      </c>
      <c r="F236" s="17" t="str">
        <f>IF(OR(TEXT(F$13,"ddd")="Sun",F$13="",$D236=""),"",IF('Leave Planner'!D237="",1,0))</f>
        <v/>
      </c>
      <c r="G236" s="17" t="str">
        <f>IF(OR(TEXT(G$13,"ddd")="Sun",G$13="",$D236=""),"",IF('Leave Planner'!E237="",1,0))</f>
        <v/>
      </c>
      <c r="H236" s="17" t="str">
        <f>IF(OR(TEXT(H$13,"ddd")="Sun",H$13="",$D236=""),"",IF('Leave Planner'!F237="",1,0))</f>
        <v/>
      </c>
      <c r="I236" s="17" t="str">
        <f>IF(OR(TEXT(I$13,"ddd")="Sun",I$13="",$D236=""),"",IF('Leave Planner'!G237="",1,0))</f>
        <v/>
      </c>
      <c r="J236" s="17" t="str">
        <f>IF(OR(TEXT(J$13,"ddd")="Sun",J$13="",$D236=""),"",IF('Leave Planner'!H237="",1,0))</f>
        <v/>
      </c>
      <c r="K236" s="17" t="str">
        <f>IF(OR(TEXT(K$13,"ddd")="Sun",K$13="",$D236=""),"",IF('Leave Planner'!I237="",1,0))</f>
        <v/>
      </c>
      <c r="L236" s="17" t="str">
        <f>IF(OR(TEXT(L$13,"ddd")="Sun",L$13="",$D236=""),"",IF('Leave Planner'!J237="",1,0))</f>
        <v/>
      </c>
      <c r="M236" s="17" t="str">
        <f>IF(OR(TEXT(M$13,"ddd")="Sun",M$13="",$D236=""),"",IF('Leave Planner'!K237="",1,0))</f>
        <v/>
      </c>
      <c r="N236" s="17" t="str">
        <f>IF(OR(TEXT(N$13,"ddd")="Sun",N$13="",$D236=""),"",IF('Leave Planner'!L237="",1,0))</f>
        <v/>
      </c>
      <c r="O236" s="17" t="str">
        <f>IF(OR(TEXT(O$13,"ddd")="Sun",O$13="",$D236=""),"",IF('Leave Planner'!M237="",1,0))</f>
        <v/>
      </c>
      <c r="P236" s="17" t="str">
        <f>IF(OR(TEXT(P$13,"ddd")="Sun",P$13="",$D236=""),"",IF('Leave Planner'!N237="",1,0))</f>
        <v/>
      </c>
      <c r="Q236" s="17" t="str">
        <f>IF(OR(TEXT(Q$13,"ddd")="Sun",Q$13="",$D236=""),"",IF('Leave Planner'!O237="",1,0))</f>
        <v/>
      </c>
      <c r="R236" s="17" t="str">
        <f>IF(OR(TEXT(R$13,"ddd")="Sun",R$13="",$D236=""),"",IF('Leave Planner'!P237="",1,0))</f>
        <v/>
      </c>
      <c r="S236" s="17" t="str">
        <f>IF(OR(TEXT(S$13,"ddd")="Sun",S$13="",$D236=""),"",IF('Leave Planner'!Q237="",1,0))</f>
        <v/>
      </c>
      <c r="T236" s="17" t="str">
        <f>IF(OR(TEXT(T$13,"ddd")="Sun",T$13="",$D236=""),"",IF('Leave Planner'!R237="",1,0))</f>
        <v/>
      </c>
      <c r="U236" s="17" t="str">
        <f>IF(OR(TEXT(U$13,"ddd")="Sun",U$13="",$D236=""),"",IF('Leave Planner'!S237="",1,0))</f>
        <v/>
      </c>
      <c r="V236" s="17" t="str">
        <f>IF(OR(TEXT(V$13,"ddd")="Sun",V$13="",$D236=""),"",IF('Leave Planner'!T237="",1,0))</f>
        <v/>
      </c>
      <c r="W236" s="17" t="str">
        <f>IF(OR(TEXT(W$13,"ddd")="Sun",W$13="",$D236=""),"",IF('Leave Planner'!U237="",1,0))</f>
        <v/>
      </c>
      <c r="X236" s="17" t="str">
        <f>IF(OR(TEXT(X$13,"ddd")="Sun",X$13="",$D236=""),"",IF('Leave Planner'!V237="",1,0))</f>
        <v/>
      </c>
      <c r="Y236" s="17" t="str">
        <f>IF(OR(TEXT(Y$13,"ddd")="Sun",Y$13="",$D236=""),"",IF('Leave Planner'!W237="",1,0))</f>
        <v/>
      </c>
      <c r="Z236" s="17" t="str">
        <f>IF(OR(TEXT(Z$13,"ddd")="Sun",Z$13="",$D236=""),"",IF('Leave Planner'!X237="",1,0))</f>
        <v/>
      </c>
      <c r="AA236" s="17" t="str">
        <f>IF(OR(TEXT(AA$13,"ddd")="Sun",AA$13="",$D236=""),"",IF('Leave Planner'!Y237="",1,0))</f>
        <v/>
      </c>
      <c r="AB236" s="17" t="str">
        <f>IF(OR(TEXT(AB$13,"ddd")="Sun",AB$13="",$D236=""),"",IF('Leave Planner'!Z237="",1,0))</f>
        <v/>
      </c>
      <c r="AC236" s="17" t="str">
        <f>IF(OR(TEXT(AC$13,"ddd")="Sun",AC$13="",$D236=""),"",IF('Leave Planner'!AA237="",1,0))</f>
        <v/>
      </c>
      <c r="AD236" s="17" t="str">
        <f>IF(OR(TEXT(AD$13,"ddd")="Sun",AD$13="",$D236=""),"",IF('Leave Planner'!AB237="",1,0))</f>
        <v/>
      </c>
      <c r="AE236" s="17" t="str">
        <f>IF(OR(TEXT(AE$13,"ddd")="Sun",AE$13="",$D236=""),"",IF('Leave Planner'!AC237="",1,0))</f>
        <v/>
      </c>
      <c r="AF236" s="17" t="str">
        <f>IF(OR(TEXT(AF$13,"ddd")="Sun",AF$13="",$D236=""),"",IF('Leave Planner'!AD237="",1,0))</f>
        <v/>
      </c>
      <c r="AG236" s="17" t="str">
        <f>IF(OR(TEXT(AG$13,"ddd")="Sun",AG$13="",$D236=""),"",IF('Leave Planner'!AE237="",1,0))</f>
        <v/>
      </c>
      <c r="AH236" s="17" t="str">
        <f>IF(OR(TEXT(AH$13,"ddd")="Sun",AH$13="",$D236=""),"",IF('Leave Planner'!AF237="",1,0))</f>
        <v/>
      </c>
      <c r="AI236" s="17" t="str">
        <f>IF(OR(TEXT(AI$13,"ddd")="Sun",AI$13="",$D236=""),"",IF('Leave Planner'!AG237="",1,0))</f>
        <v/>
      </c>
      <c r="AJ236" s="17" t="str">
        <f>IF(OR(TEXT(AJ$13,"ddd")="Sun",AJ$13="",$D236=""),"",IF('Leave Planner'!AH237="",1,0))</f>
        <v/>
      </c>
    </row>
    <row r="237" spans="2:36" x14ac:dyDescent="0.75">
      <c r="B237" s="15"/>
      <c r="C237" s="22"/>
      <c r="D237" s="22"/>
      <c r="E237" s="42" t="str">
        <f t="shared" si="8"/>
        <v/>
      </c>
      <c r="F237" s="17" t="str">
        <f>IF(OR(TEXT(F$13,"ddd")="Sun",F$13="",$D237=""),"",IF('Leave Planner'!D238="",1,0))</f>
        <v/>
      </c>
      <c r="G237" s="17" t="str">
        <f>IF(OR(TEXT(G$13,"ddd")="Sun",G$13="",$D237=""),"",IF('Leave Planner'!E238="",1,0))</f>
        <v/>
      </c>
      <c r="H237" s="17" t="str">
        <f>IF(OR(TEXT(H$13,"ddd")="Sun",H$13="",$D237=""),"",IF('Leave Planner'!F238="",1,0))</f>
        <v/>
      </c>
      <c r="I237" s="17" t="str">
        <f>IF(OR(TEXT(I$13,"ddd")="Sun",I$13="",$D237=""),"",IF('Leave Planner'!G238="",1,0))</f>
        <v/>
      </c>
      <c r="J237" s="17" t="str">
        <f>IF(OR(TEXT(J$13,"ddd")="Sun",J$13="",$D237=""),"",IF('Leave Planner'!H238="",1,0))</f>
        <v/>
      </c>
      <c r="K237" s="17" t="str">
        <f>IF(OR(TEXT(K$13,"ddd")="Sun",K$13="",$D237=""),"",IF('Leave Planner'!I238="",1,0))</f>
        <v/>
      </c>
      <c r="L237" s="17" t="str">
        <f>IF(OR(TEXT(L$13,"ddd")="Sun",L$13="",$D237=""),"",IF('Leave Planner'!J238="",1,0))</f>
        <v/>
      </c>
      <c r="M237" s="17" t="str">
        <f>IF(OR(TEXT(M$13,"ddd")="Sun",M$13="",$D237=""),"",IF('Leave Planner'!K238="",1,0))</f>
        <v/>
      </c>
      <c r="N237" s="17" t="str">
        <f>IF(OR(TEXT(N$13,"ddd")="Sun",N$13="",$D237=""),"",IF('Leave Planner'!L238="",1,0))</f>
        <v/>
      </c>
      <c r="O237" s="17" t="str">
        <f>IF(OR(TEXT(O$13,"ddd")="Sun",O$13="",$D237=""),"",IF('Leave Planner'!M238="",1,0))</f>
        <v/>
      </c>
      <c r="P237" s="17" t="str">
        <f>IF(OR(TEXT(P$13,"ddd")="Sun",P$13="",$D237=""),"",IF('Leave Planner'!N238="",1,0))</f>
        <v/>
      </c>
      <c r="Q237" s="17" t="str">
        <f>IF(OR(TEXT(Q$13,"ddd")="Sun",Q$13="",$D237=""),"",IF('Leave Planner'!O238="",1,0))</f>
        <v/>
      </c>
      <c r="R237" s="17" t="str">
        <f>IF(OR(TEXT(R$13,"ddd")="Sun",R$13="",$D237=""),"",IF('Leave Planner'!P238="",1,0))</f>
        <v/>
      </c>
      <c r="S237" s="17" t="str">
        <f>IF(OR(TEXT(S$13,"ddd")="Sun",S$13="",$D237=""),"",IF('Leave Planner'!Q238="",1,0))</f>
        <v/>
      </c>
      <c r="T237" s="17" t="str">
        <f>IF(OR(TEXT(T$13,"ddd")="Sun",T$13="",$D237=""),"",IF('Leave Planner'!R238="",1,0))</f>
        <v/>
      </c>
      <c r="U237" s="17" t="str">
        <f>IF(OR(TEXT(U$13,"ddd")="Sun",U$13="",$D237=""),"",IF('Leave Planner'!S238="",1,0))</f>
        <v/>
      </c>
      <c r="V237" s="17" t="str">
        <f>IF(OR(TEXT(V$13,"ddd")="Sun",V$13="",$D237=""),"",IF('Leave Planner'!T238="",1,0))</f>
        <v/>
      </c>
      <c r="W237" s="17" t="str">
        <f>IF(OR(TEXT(W$13,"ddd")="Sun",W$13="",$D237=""),"",IF('Leave Planner'!U238="",1,0))</f>
        <v/>
      </c>
      <c r="X237" s="17" t="str">
        <f>IF(OR(TEXT(X$13,"ddd")="Sun",X$13="",$D237=""),"",IF('Leave Planner'!V238="",1,0))</f>
        <v/>
      </c>
      <c r="Y237" s="17" t="str">
        <f>IF(OR(TEXT(Y$13,"ddd")="Sun",Y$13="",$D237=""),"",IF('Leave Planner'!W238="",1,0))</f>
        <v/>
      </c>
      <c r="Z237" s="17" t="str">
        <f>IF(OR(TEXT(Z$13,"ddd")="Sun",Z$13="",$D237=""),"",IF('Leave Planner'!X238="",1,0))</f>
        <v/>
      </c>
      <c r="AA237" s="17" t="str">
        <f>IF(OR(TEXT(AA$13,"ddd")="Sun",AA$13="",$D237=""),"",IF('Leave Planner'!Y238="",1,0))</f>
        <v/>
      </c>
      <c r="AB237" s="17" t="str">
        <f>IF(OR(TEXT(AB$13,"ddd")="Sun",AB$13="",$D237=""),"",IF('Leave Planner'!Z238="",1,0))</f>
        <v/>
      </c>
      <c r="AC237" s="17" t="str">
        <f>IF(OR(TEXT(AC$13,"ddd")="Sun",AC$13="",$D237=""),"",IF('Leave Planner'!AA238="",1,0))</f>
        <v/>
      </c>
      <c r="AD237" s="17" t="str">
        <f>IF(OR(TEXT(AD$13,"ddd")="Sun",AD$13="",$D237=""),"",IF('Leave Planner'!AB238="",1,0))</f>
        <v/>
      </c>
      <c r="AE237" s="17" t="str">
        <f>IF(OR(TEXT(AE$13,"ddd")="Sun",AE$13="",$D237=""),"",IF('Leave Planner'!AC238="",1,0))</f>
        <v/>
      </c>
      <c r="AF237" s="17" t="str">
        <f>IF(OR(TEXT(AF$13,"ddd")="Sun",AF$13="",$D237=""),"",IF('Leave Planner'!AD238="",1,0))</f>
        <v/>
      </c>
      <c r="AG237" s="17" t="str">
        <f>IF(OR(TEXT(AG$13,"ddd")="Sun",AG$13="",$D237=""),"",IF('Leave Planner'!AE238="",1,0))</f>
        <v/>
      </c>
      <c r="AH237" s="17" t="str">
        <f>IF(OR(TEXT(AH$13,"ddd")="Sun",AH$13="",$D237=""),"",IF('Leave Planner'!AF238="",1,0))</f>
        <v/>
      </c>
      <c r="AI237" s="17" t="str">
        <f>IF(OR(TEXT(AI$13,"ddd")="Sun",AI$13="",$D237=""),"",IF('Leave Planner'!AG238="",1,0))</f>
        <v/>
      </c>
      <c r="AJ237" s="17" t="str">
        <f>IF(OR(TEXT(AJ$13,"ddd")="Sun",AJ$13="",$D237=""),"",IF('Leave Planner'!AH238="",1,0))</f>
        <v/>
      </c>
    </row>
    <row r="238" spans="2:36" x14ac:dyDescent="0.75">
      <c r="B238" s="15"/>
      <c r="C238" s="22"/>
      <c r="D238" s="22"/>
      <c r="E238" s="42" t="str">
        <f t="shared" si="8"/>
        <v/>
      </c>
      <c r="F238" s="17" t="str">
        <f>IF(OR(TEXT(F$13,"ddd")="Sun",F$13="",$D238=""),"",IF('Leave Planner'!D239="",1,0))</f>
        <v/>
      </c>
      <c r="G238" s="17" t="str">
        <f>IF(OR(TEXT(G$13,"ddd")="Sun",G$13="",$D238=""),"",IF('Leave Planner'!E239="",1,0))</f>
        <v/>
      </c>
      <c r="H238" s="17" t="str">
        <f>IF(OR(TEXT(H$13,"ddd")="Sun",H$13="",$D238=""),"",IF('Leave Planner'!F239="",1,0))</f>
        <v/>
      </c>
      <c r="I238" s="17" t="str">
        <f>IF(OR(TEXT(I$13,"ddd")="Sun",I$13="",$D238=""),"",IF('Leave Planner'!G239="",1,0))</f>
        <v/>
      </c>
      <c r="J238" s="17" t="str">
        <f>IF(OR(TEXT(J$13,"ddd")="Sun",J$13="",$D238=""),"",IF('Leave Planner'!H239="",1,0))</f>
        <v/>
      </c>
      <c r="K238" s="17" t="str">
        <f>IF(OR(TEXT(K$13,"ddd")="Sun",K$13="",$D238=""),"",IF('Leave Planner'!I239="",1,0))</f>
        <v/>
      </c>
      <c r="L238" s="17" t="str">
        <f>IF(OR(TEXT(L$13,"ddd")="Sun",L$13="",$D238=""),"",IF('Leave Planner'!J239="",1,0))</f>
        <v/>
      </c>
      <c r="M238" s="17" t="str">
        <f>IF(OR(TEXT(M$13,"ddd")="Sun",M$13="",$D238=""),"",IF('Leave Planner'!K239="",1,0))</f>
        <v/>
      </c>
      <c r="N238" s="17" t="str">
        <f>IF(OR(TEXT(N$13,"ddd")="Sun",N$13="",$D238=""),"",IF('Leave Planner'!L239="",1,0))</f>
        <v/>
      </c>
      <c r="O238" s="17" t="str">
        <f>IF(OR(TEXT(O$13,"ddd")="Sun",O$13="",$D238=""),"",IF('Leave Planner'!M239="",1,0))</f>
        <v/>
      </c>
      <c r="P238" s="17" t="str">
        <f>IF(OR(TEXT(P$13,"ddd")="Sun",P$13="",$D238=""),"",IF('Leave Planner'!N239="",1,0))</f>
        <v/>
      </c>
      <c r="Q238" s="17" t="str">
        <f>IF(OR(TEXT(Q$13,"ddd")="Sun",Q$13="",$D238=""),"",IF('Leave Planner'!O239="",1,0))</f>
        <v/>
      </c>
      <c r="R238" s="17" t="str">
        <f>IF(OR(TEXT(R$13,"ddd")="Sun",R$13="",$D238=""),"",IF('Leave Planner'!P239="",1,0))</f>
        <v/>
      </c>
      <c r="S238" s="17" t="str">
        <f>IF(OR(TEXT(S$13,"ddd")="Sun",S$13="",$D238=""),"",IF('Leave Planner'!Q239="",1,0))</f>
        <v/>
      </c>
      <c r="T238" s="17" t="str">
        <f>IF(OR(TEXT(T$13,"ddd")="Sun",T$13="",$D238=""),"",IF('Leave Planner'!R239="",1,0))</f>
        <v/>
      </c>
      <c r="U238" s="17" t="str">
        <f>IF(OR(TEXT(U$13,"ddd")="Sun",U$13="",$D238=""),"",IF('Leave Planner'!S239="",1,0))</f>
        <v/>
      </c>
      <c r="V238" s="17" t="str">
        <f>IF(OR(TEXT(V$13,"ddd")="Sun",V$13="",$D238=""),"",IF('Leave Planner'!T239="",1,0))</f>
        <v/>
      </c>
      <c r="W238" s="17" t="str">
        <f>IF(OR(TEXT(W$13,"ddd")="Sun",W$13="",$D238=""),"",IF('Leave Planner'!U239="",1,0))</f>
        <v/>
      </c>
      <c r="X238" s="17" t="str">
        <f>IF(OR(TEXT(X$13,"ddd")="Sun",X$13="",$D238=""),"",IF('Leave Planner'!V239="",1,0))</f>
        <v/>
      </c>
      <c r="Y238" s="17" t="str">
        <f>IF(OR(TEXT(Y$13,"ddd")="Sun",Y$13="",$D238=""),"",IF('Leave Planner'!W239="",1,0))</f>
        <v/>
      </c>
      <c r="Z238" s="17" t="str">
        <f>IF(OR(TEXT(Z$13,"ddd")="Sun",Z$13="",$D238=""),"",IF('Leave Planner'!X239="",1,0))</f>
        <v/>
      </c>
      <c r="AA238" s="17" t="str">
        <f>IF(OR(TEXT(AA$13,"ddd")="Sun",AA$13="",$D238=""),"",IF('Leave Planner'!Y239="",1,0))</f>
        <v/>
      </c>
      <c r="AB238" s="17" t="str">
        <f>IF(OR(TEXT(AB$13,"ddd")="Sun",AB$13="",$D238=""),"",IF('Leave Planner'!Z239="",1,0))</f>
        <v/>
      </c>
      <c r="AC238" s="17" t="str">
        <f>IF(OR(TEXT(AC$13,"ddd")="Sun",AC$13="",$D238=""),"",IF('Leave Planner'!AA239="",1,0))</f>
        <v/>
      </c>
      <c r="AD238" s="17" t="str">
        <f>IF(OR(TEXT(AD$13,"ddd")="Sun",AD$13="",$D238=""),"",IF('Leave Planner'!AB239="",1,0))</f>
        <v/>
      </c>
      <c r="AE238" s="17" t="str">
        <f>IF(OR(TEXT(AE$13,"ddd")="Sun",AE$13="",$D238=""),"",IF('Leave Planner'!AC239="",1,0))</f>
        <v/>
      </c>
      <c r="AF238" s="17" t="str">
        <f>IF(OR(TEXT(AF$13,"ddd")="Sun",AF$13="",$D238=""),"",IF('Leave Planner'!AD239="",1,0))</f>
        <v/>
      </c>
      <c r="AG238" s="17" t="str">
        <f>IF(OR(TEXT(AG$13,"ddd")="Sun",AG$13="",$D238=""),"",IF('Leave Planner'!AE239="",1,0))</f>
        <v/>
      </c>
      <c r="AH238" s="17" t="str">
        <f>IF(OR(TEXT(AH$13,"ddd")="Sun",AH$13="",$D238=""),"",IF('Leave Planner'!AF239="",1,0))</f>
        <v/>
      </c>
      <c r="AI238" s="17" t="str">
        <f>IF(OR(TEXT(AI$13,"ddd")="Sun",AI$13="",$D238=""),"",IF('Leave Planner'!AG239="",1,0))</f>
        <v/>
      </c>
      <c r="AJ238" s="17" t="str">
        <f>IF(OR(TEXT(AJ$13,"ddd")="Sun",AJ$13="",$D238=""),"",IF('Leave Planner'!AH239="",1,0))</f>
        <v/>
      </c>
    </row>
    <row r="239" spans="2:36" x14ac:dyDescent="0.75">
      <c r="B239" s="15"/>
      <c r="C239" s="22"/>
      <c r="D239" s="22"/>
      <c r="E239" s="42" t="str">
        <f t="shared" si="8"/>
        <v/>
      </c>
      <c r="F239" s="17" t="str">
        <f>IF(OR(TEXT(F$13,"ddd")="Sun",F$13="",$D239=""),"",IF('Leave Planner'!D240="",1,0))</f>
        <v/>
      </c>
      <c r="G239" s="17" t="str">
        <f>IF(OR(TEXT(G$13,"ddd")="Sun",G$13="",$D239=""),"",IF('Leave Planner'!E240="",1,0))</f>
        <v/>
      </c>
      <c r="H239" s="17" t="str">
        <f>IF(OR(TEXT(H$13,"ddd")="Sun",H$13="",$D239=""),"",IF('Leave Planner'!F240="",1,0))</f>
        <v/>
      </c>
      <c r="I239" s="17" t="str">
        <f>IF(OR(TEXT(I$13,"ddd")="Sun",I$13="",$D239=""),"",IF('Leave Planner'!G240="",1,0))</f>
        <v/>
      </c>
      <c r="J239" s="17" t="str">
        <f>IF(OR(TEXT(J$13,"ddd")="Sun",J$13="",$D239=""),"",IF('Leave Planner'!H240="",1,0))</f>
        <v/>
      </c>
      <c r="K239" s="17" t="str">
        <f>IF(OR(TEXT(K$13,"ddd")="Sun",K$13="",$D239=""),"",IF('Leave Planner'!I240="",1,0))</f>
        <v/>
      </c>
      <c r="L239" s="17" t="str">
        <f>IF(OR(TEXT(L$13,"ddd")="Sun",L$13="",$D239=""),"",IF('Leave Planner'!J240="",1,0))</f>
        <v/>
      </c>
      <c r="M239" s="17" t="str">
        <f>IF(OR(TEXT(M$13,"ddd")="Sun",M$13="",$D239=""),"",IF('Leave Planner'!K240="",1,0))</f>
        <v/>
      </c>
      <c r="N239" s="17" t="str">
        <f>IF(OR(TEXT(N$13,"ddd")="Sun",N$13="",$D239=""),"",IF('Leave Planner'!L240="",1,0))</f>
        <v/>
      </c>
      <c r="O239" s="17" t="str">
        <f>IF(OR(TEXT(O$13,"ddd")="Sun",O$13="",$D239=""),"",IF('Leave Planner'!M240="",1,0))</f>
        <v/>
      </c>
      <c r="P239" s="17" t="str">
        <f>IF(OR(TEXT(P$13,"ddd")="Sun",P$13="",$D239=""),"",IF('Leave Planner'!N240="",1,0))</f>
        <v/>
      </c>
      <c r="Q239" s="17" t="str">
        <f>IF(OR(TEXT(Q$13,"ddd")="Sun",Q$13="",$D239=""),"",IF('Leave Planner'!O240="",1,0))</f>
        <v/>
      </c>
      <c r="R239" s="17" t="str">
        <f>IF(OR(TEXT(R$13,"ddd")="Sun",R$13="",$D239=""),"",IF('Leave Planner'!P240="",1,0))</f>
        <v/>
      </c>
      <c r="S239" s="17" t="str">
        <f>IF(OR(TEXT(S$13,"ddd")="Sun",S$13="",$D239=""),"",IF('Leave Planner'!Q240="",1,0))</f>
        <v/>
      </c>
      <c r="T239" s="17" t="str">
        <f>IF(OR(TEXT(T$13,"ddd")="Sun",T$13="",$D239=""),"",IF('Leave Planner'!R240="",1,0))</f>
        <v/>
      </c>
      <c r="U239" s="17" t="str">
        <f>IF(OR(TEXT(U$13,"ddd")="Sun",U$13="",$D239=""),"",IF('Leave Planner'!S240="",1,0))</f>
        <v/>
      </c>
      <c r="V239" s="17" t="str">
        <f>IF(OR(TEXT(V$13,"ddd")="Sun",V$13="",$D239=""),"",IF('Leave Planner'!T240="",1,0))</f>
        <v/>
      </c>
      <c r="W239" s="17" t="str">
        <f>IF(OR(TEXT(W$13,"ddd")="Sun",W$13="",$D239=""),"",IF('Leave Planner'!U240="",1,0))</f>
        <v/>
      </c>
      <c r="X239" s="17" t="str">
        <f>IF(OR(TEXT(X$13,"ddd")="Sun",X$13="",$D239=""),"",IF('Leave Planner'!V240="",1,0))</f>
        <v/>
      </c>
      <c r="Y239" s="17" t="str">
        <f>IF(OR(TEXT(Y$13,"ddd")="Sun",Y$13="",$D239=""),"",IF('Leave Planner'!W240="",1,0))</f>
        <v/>
      </c>
      <c r="Z239" s="17" t="str">
        <f>IF(OR(TEXT(Z$13,"ddd")="Sun",Z$13="",$D239=""),"",IF('Leave Planner'!X240="",1,0))</f>
        <v/>
      </c>
      <c r="AA239" s="17" t="str">
        <f>IF(OR(TEXT(AA$13,"ddd")="Sun",AA$13="",$D239=""),"",IF('Leave Planner'!Y240="",1,0))</f>
        <v/>
      </c>
      <c r="AB239" s="17" t="str">
        <f>IF(OR(TEXT(AB$13,"ddd")="Sun",AB$13="",$D239=""),"",IF('Leave Planner'!Z240="",1,0))</f>
        <v/>
      </c>
      <c r="AC239" s="17" t="str">
        <f>IF(OR(TEXT(AC$13,"ddd")="Sun",AC$13="",$D239=""),"",IF('Leave Planner'!AA240="",1,0))</f>
        <v/>
      </c>
      <c r="AD239" s="17" t="str">
        <f>IF(OR(TEXT(AD$13,"ddd")="Sun",AD$13="",$D239=""),"",IF('Leave Planner'!AB240="",1,0))</f>
        <v/>
      </c>
      <c r="AE239" s="17" t="str">
        <f>IF(OR(TEXT(AE$13,"ddd")="Sun",AE$13="",$D239=""),"",IF('Leave Planner'!AC240="",1,0))</f>
        <v/>
      </c>
      <c r="AF239" s="17" t="str">
        <f>IF(OR(TEXT(AF$13,"ddd")="Sun",AF$13="",$D239=""),"",IF('Leave Planner'!AD240="",1,0))</f>
        <v/>
      </c>
      <c r="AG239" s="17" t="str">
        <f>IF(OR(TEXT(AG$13,"ddd")="Sun",AG$13="",$D239=""),"",IF('Leave Planner'!AE240="",1,0))</f>
        <v/>
      </c>
      <c r="AH239" s="17" t="str">
        <f>IF(OR(TEXT(AH$13,"ddd")="Sun",AH$13="",$D239=""),"",IF('Leave Planner'!AF240="",1,0))</f>
        <v/>
      </c>
      <c r="AI239" s="17" t="str">
        <f>IF(OR(TEXT(AI$13,"ddd")="Sun",AI$13="",$D239=""),"",IF('Leave Planner'!AG240="",1,0))</f>
        <v/>
      </c>
      <c r="AJ239" s="17" t="str">
        <f>IF(OR(TEXT(AJ$13,"ddd")="Sun",AJ$13="",$D239=""),"",IF('Leave Planner'!AH240="",1,0))</f>
        <v/>
      </c>
    </row>
    <row r="240" spans="2:36" x14ac:dyDescent="0.75">
      <c r="B240" s="15"/>
      <c r="C240" s="22"/>
      <c r="D240" s="22"/>
      <c r="E240" s="42" t="str">
        <f t="shared" si="8"/>
        <v/>
      </c>
      <c r="F240" s="17" t="str">
        <f>IF(OR(TEXT(F$13,"ddd")="Sun",F$13="",$D240=""),"",IF('Leave Planner'!D241="",1,0))</f>
        <v/>
      </c>
      <c r="G240" s="17" t="str">
        <f>IF(OR(TEXT(G$13,"ddd")="Sun",G$13="",$D240=""),"",IF('Leave Planner'!E241="",1,0))</f>
        <v/>
      </c>
      <c r="H240" s="17" t="str">
        <f>IF(OR(TEXT(H$13,"ddd")="Sun",H$13="",$D240=""),"",IF('Leave Planner'!F241="",1,0))</f>
        <v/>
      </c>
      <c r="I240" s="17" t="str">
        <f>IF(OR(TEXT(I$13,"ddd")="Sun",I$13="",$D240=""),"",IF('Leave Planner'!G241="",1,0))</f>
        <v/>
      </c>
      <c r="J240" s="17" t="str">
        <f>IF(OR(TEXT(J$13,"ddd")="Sun",J$13="",$D240=""),"",IF('Leave Planner'!H241="",1,0))</f>
        <v/>
      </c>
      <c r="K240" s="17" t="str">
        <f>IF(OR(TEXT(K$13,"ddd")="Sun",K$13="",$D240=""),"",IF('Leave Planner'!I241="",1,0))</f>
        <v/>
      </c>
      <c r="L240" s="17" t="str">
        <f>IF(OR(TEXT(L$13,"ddd")="Sun",L$13="",$D240=""),"",IF('Leave Planner'!J241="",1,0))</f>
        <v/>
      </c>
      <c r="M240" s="17" t="str">
        <f>IF(OR(TEXT(M$13,"ddd")="Sun",M$13="",$D240=""),"",IF('Leave Planner'!K241="",1,0))</f>
        <v/>
      </c>
      <c r="N240" s="17" t="str">
        <f>IF(OR(TEXT(N$13,"ddd")="Sun",N$13="",$D240=""),"",IF('Leave Planner'!L241="",1,0))</f>
        <v/>
      </c>
      <c r="O240" s="17" t="str">
        <f>IF(OR(TEXT(O$13,"ddd")="Sun",O$13="",$D240=""),"",IF('Leave Planner'!M241="",1,0))</f>
        <v/>
      </c>
      <c r="P240" s="17" t="str">
        <f>IF(OR(TEXT(P$13,"ddd")="Sun",P$13="",$D240=""),"",IF('Leave Planner'!N241="",1,0))</f>
        <v/>
      </c>
      <c r="Q240" s="17" t="str">
        <f>IF(OR(TEXT(Q$13,"ddd")="Sun",Q$13="",$D240=""),"",IF('Leave Planner'!O241="",1,0))</f>
        <v/>
      </c>
      <c r="R240" s="17" t="str">
        <f>IF(OR(TEXT(R$13,"ddd")="Sun",R$13="",$D240=""),"",IF('Leave Planner'!P241="",1,0))</f>
        <v/>
      </c>
      <c r="S240" s="17" t="str">
        <f>IF(OR(TEXT(S$13,"ddd")="Sun",S$13="",$D240=""),"",IF('Leave Planner'!Q241="",1,0))</f>
        <v/>
      </c>
      <c r="T240" s="17" t="str">
        <f>IF(OR(TEXT(T$13,"ddd")="Sun",T$13="",$D240=""),"",IF('Leave Planner'!R241="",1,0))</f>
        <v/>
      </c>
      <c r="U240" s="17" t="str">
        <f>IF(OR(TEXT(U$13,"ddd")="Sun",U$13="",$D240=""),"",IF('Leave Planner'!S241="",1,0))</f>
        <v/>
      </c>
      <c r="V240" s="17" t="str">
        <f>IF(OR(TEXT(V$13,"ddd")="Sun",V$13="",$D240=""),"",IF('Leave Planner'!T241="",1,0))</f>
        <v/>
      </c>
      <c r="W240" s="17" t="str">
        <f>IF(OR(TEXT(W$13,"ddd")="Sun",W$13="",$D240=""),"",IF('Leave Planner'!U241="",1,0))</f>
        <v/>
      </c>
      <c r="X240" s="17" t="str">
        <f>IF(OR(TEXT(X$13,"ddd")="Sun",X$13="",$D240=""),"",IF('Leave Planner'!V241="",1,0))</f>
        <v/>
      </c>
      <c r="Y240" s="17" t="str">
        <f>IF(OR(TEXT(Y$13,"ddd")="Sun",Y$13="",$D240=""),"",IF('Leave Planner'!W241="",1,0))</f>
        <v/>
      </c>
      <c r="Z240" s="17" t="str">
        <f>IF(OR(TEXT(Z$13,"ddd")="Sun",Z$13="",$D240=""),"",IF('Leave Planner'!X241="",1,0))</f>
        <v/>
      </c>
      <c r="AA240" s="17" t="str">
        <f>IF(OR(TEXT(AA$13,"ddd")="Sun",AA$13="",$D240=""),"",IF('Leave Planner'!Y241="",1,0))</f>
        <v/>
      </c>
      <c r="AB240" s="17" t="str">
        <f>IF(OR(TEXT(AB$13,"ddd")="Sun",AB$13="",$D240=""),"",IF('Leave Planner'!Z241="",1,0))</f>
        <v/>
      </c>
      <c r="AC240" s="17" t="str">
        <f>IF(OR(TEXT(AC$13,"ddd")="Sun",AC$13="",$D240=""),"",IF('Leave Planner'!AA241="",1,0))</f>
        <v/>
      </c>
      <c r="AD240" s="17" t="str">
        <f>IF(OR(TEXT(AD$13,"ddd")="Sun",AD$13="",$D240=""),"",IF('Leave Planner'!AB241="",1,0))</f>
        <v/>
      </c>
      <c r="AE240" s="17" t="str">
        <f>IF(OR(TEXT(AE$13,"ddd")="Sun",AE$13="",$D240=""),"",IF('Leave Planner'!AC241="",1,0))</f>
        <v/>
      </c>
      <c r="AF240" s="17" t="str">
        <f>IF(OR(TEXT(AF$13,"ddd")="Sun",AF$13="",$D240=""),"",IF('Leave Planner'!AD241="",1,0))</f>
        <v/>
      </c>
      <c r="AG240" s="17" t="str">
        <f>IF(OR(TEXT(AG$13,"ddd")="Sun",AG$13="",$D240=""),"",IF('Leave Planner'!AE241="",1,0))</f>
        <v/>
      </c>
      <c r="AH240" s="17" t="str">
        <f>IF(OR(TEXT(AH$13,"ddd")="Sun",AH$13="",$D240=""),"",IF('Leave Planner'!AF241="",1,0))</f>
        <v/>
      </c>
      <c r="AI240" s="17" t="str">
        <f>IF(OR(TEXT(AI$13,"ddd")="Sun",AI$13="",$D240=""),"",IF('Leave Planner'!AG241="",1,0))</f>
        <v/>
      </c>
      <c r="AJ240" s="17" t="str">
        <f>IF(OR(TEXT(AJ$13,"ddd")="Sun",AJ$13="",$D240=""),"",IF('Leave Planner'!AH241="",1,0))</f>
        <v/>
      </c>
    </row>
    <row r="241" spans="2:36" x14ac:dyDescent="0.75">
      <c r="B241" s="15"/>
      <c r="C241" s="22"/>
      <c r="D241" s="22"/>
      <c r="E241" s="42" t="str">
        <f t="shared" si="8"/>
        <v/>
      </c>
      <c r="F241" s="17" t="str">
        <f>IF(OR(TEXT(F$13,"ddd")="Sun",F$13="",$D241=""),"",IF('Leave Planner'!D242="",1,0))</f>
        <v/>
      </c>
      <c r="G241" s="17" t="str">
        <f>IF(OR(TEXT(G$13,"ddd")="Sun",G$13="",$D241=""),"",IF('Leave Planner'!E242="",1,0))</f>
        <v/>
      </c>
      <c r="H241" s="17" t="str">
        <f>IF(OR(TEXT(H$13,"ddd")="Sun",H$13="",$D241=""),"",IF('Leave Planner'!F242="",1,0))</f>
        <v/>
      </c>
      <c r="I241" s="17" t="str">
        <f>IF(OR(TEXT(I$13,"ddd")="Sun",I$13="",$D241=""),"",IF('Leave Planner'!G242="",1,0))</f>
        <v/>
      </c>
      <c r="J241" s="17" t="str">
        <f>IF(OR(TEXT(J$13,"ddd")="Sun",J$13="",$D241=""),"",IF('Leave Planner'!H242="",1,0))</f>
        <v/>
      </c>
      <c r="K241" s="17" t="str">
        <f>IF(OR(TEXT(K$13,"ddd")="Sun",K$13="",$D241=""),"",IF('Leave Planner'!I242="",1,0))</f>
        <v/>
      </c>
      <c r="L241" s="17" t="str">
        <f>IF(OR(TEXT(L$13,"ddd")="Sun",L$13="",$D241=""),"",IF('Leave Planner'!J242="",1,0))</f>
        <v/>
      </c>
      <c r="M241" s="17" t="str">
        <f>IF(OR(TEXT(M$13,"ddd")="Sun",M$13="",$D241=""),"",IF('Leave Planner'!K242="",1,0))</f>
        <v/>
      </c>
      <c r="N241" s="17" t="str">
        <f>IF(OR(TEXT(N$13,"ddd")="Sun",N$13="",$D241=""),"",IF('Leave Planner'!L242="",1,0))</f>
        <v/>
      </c>
      <c r="O241" s="17" t="str">
        <f>IF(OR(TEXT(O$13,"ddd")="Sun",O$13="",$D241=""),"",IF('Leave Planner'!M242="",1,0))</f>
        <v/>
      </c>
      <c r="P241" s="17" t="str">
        <f>IF(OR(TEXT(P$13,"ddd")="Sun",P$13="",$D241=""),"",IF('Leave Planner'!N242="",1,0))</f>
        <v/>
      </c>
      <c r="Q241" s="17" t="str">
        <f>IF(OR(TEXT(Q$13,"ddd")="Sun",Q$13="",$D241=""),"",IF('Leave Planner'!O242="",1,0))</f>
        <v/>
      </c>
      <c r="R241" s="17" t="str">
        <f>IF(OR(TEXT(R$13,"ddd")="Sun",R$13="",$D241=""),"",IF('Leave Planner'!P242="",1,0))</f>
        <v/>
      </c>
      <c r="S241" s="17" t="str">
        <f>IF(OR(TEXT(S$13,"ddd")="Sun",S$13="",$D241=""),"",IF('Leave Planner'!Q242="",1,0))</f>
        <v/>
      </c>
      <c r="T241" s="17" t="str">
        <f>IF(OR(TEXT(T$13,"ddd")="Sun",T$13="",$D241=""),"",IF('Leave Planner'!R242="",1,0))</f>
        <v/>
      </c>
      <c r="U241" s="17" t="str">
        <f>IF(OR(TEXT(U$13,"ddd")="Sun",U$13="",$D241=""),"",IF('Leave Planner'!S242="",1,0))</f>
        <v/>
      </c>
      <c r="V241" s="17" t="str">
        <f>IF(OR(TEXT(V$13,"ddd")="Sun",V$13="",$D241=""),"",IF('Leave Planner'!T242="",1,0))</f>
        <v/>
      </c>
      <c r="W241" s="17" t="str">
        <f>IF(OR(TEXT(W$13,"ddd")="Sun",W$13="",$D241=""),"",IF('Leave Planner'!U242="",1,0))</f>
        <v/>
      </c>
      <c r="X241" s="17" t="str">
        <f>IF(OR(TEXT(X$13,"ddd")="Sun",X$13="",$D241=""),"",IF('Leave Planner'!V242="",1,0))</f>
        <v/>
      </c>
      <c r="Y241" s="17" t="str">
        <f>IF(OR(TEXT(Y$13,"ddd")="Sun",Y$13="",$D241=""),"",IF('Leave Planner'!W242="",1,0))</f>
        <v/>
      </c>
      <c r="Z241" s="17" t="str">
        <f>IF(OR(TEXT(Z$13,"ddd")="Sun",Z$13="",$D241=""),"",IF('Leave Planner'!X242="",1,0))</f>
        <v/>
      </c>
      <c r="AA241" s="17" t="str">
        <f>IF(OR(TEXT(AA$13,"ddd")="Sun",AA$13="",$D241=""),"",IF('Leave Planner'!Y242="",1,0))</f>
        <v/>
      </c>
      <c r="AB241" s="17" t="str">
        <f>IF(OR(TEXT(AB$13,"ddd")="Sun",AB$13="",$D241=""),"",IF('Leave Planner'!Z242="",1,0))</f>
        <v/>
      </c>
      <c r="AC241" s="17" t="str">
        <f>IF(OR(TEXT(AC$13,"ddd")="Sun",AC$13="",$D241=""),"",IF('Leave Planner'!AA242="",1,0))</f>
        <v/>
      </c>
      <c r="AD241" s="17" t="str">
        <f>IF(OR(TEXT(AD$13,"ddd")="Sun",AD$13="",$D241=""),"",IF('Leave Planner'!AB242="",1,0))</f>
        <v/>
      </c>
      <c r="AE241" s="17" t="str">
        <f>IF(OR(TEXT(AE$13,"ddd")="Sun",AE$13="",$D241=""),"",IF('Leave Planner'!AC242="",1,0))</f>
        <v/>
      </c>
      <c r="AF241" s="17" t="str">
        <f>IF(OR(TEXT(AF$13,"ddd")="Sun",AF$13="",$D241=""),"",IF('Leave Planner'!AD242="",1,0))</f>
        <v/>
      </c>
      <c r="AG241" s="17" t="str">
        <f>IF(OR(TEXT(AG$13,"ddd")="Sun",AG$13="",$D241=""),"",IF('Leave Planner'!AE242="",1,0))</f>
        <v/>
      </c>
      <c r="AH241" s="17" t="str">
        <f>IF(OR(TEXT(AH$13,"ddd")="Sun",AH$13="",$D241=""),"",IF('Leave Planner'!AF242="",1,0))</f>
        <v/>
      </c>
      <c r="AI241" s="17" t="str">
        <f>IF(OR(TEXT(AI$13,"ddd")="Sun",AI$13="",$D241=""),"",IF('Leave Planner'!AG242="",1,0))</f>
        <v/>
      </c>
      <c r="AJ241" s="17" t="str">
        <f>IF(OR(TEXT(AJ$13,"ddd")="Sun",AJ$13="",$D241=""),"",IF('Leave Planner'!AH242="",1,0))</f>
        <v/>
      </c>
    </row>
    <row r="242" spans="2:36" x14ac:dyDescent="0.75">
      <c r="B242" s="15"/>
      <c r="C242" s="22"/>
      <c r="D242" s="22"/>
      <c r="E242" s="42" t="str">
        <f t="shared" si="8"/>
        <v/>
      </c>
      <c r="F242" s="17" t="str">
        <f>IF(OR(TEXT(F$13,"ddd")="Sun",F$13="",$D242=""),"",IF('Leave Planner'!D243="",1,0))</f>
        <v/>
      </c>
      <c r="G242" s="17" t="str">
        <f>IF(OR(TEXT(G$13,"ddd")="Sun",G$13="",$D242=""),"",IF('Leave Planner'!E243="",1,0))</f>
        <v/>
      </c>
      <c r="H242" s="17" t="str">
        <f>IF(OR(TEXT(H$13,"ddd")="Sun",H$13="",$D242=""),"",IF('Leave Planner'!F243="",1,0))</f>
        <v/>
      </c>
      <c r="I242" s="17" t="str">
        <f>IF(OR(TEXT(I$13,"ddd")="Sun",I$13="",$D242=""),"",IF('Leave Planner'!G243="",1,0))</f>
        <v/>
      </c>
      <c r="J242" s="17" t="str">
        <f>IF(OR(TEXT(J$13,"ddd")="Sun",J$13="",$D242=""),"",IF('Leave Planner'!H243="",1,0))</f>
        <v/>
      </c>
      <c r="K242" s="17" t="str">
        <f>IF(OR(TEXT(K$13,"ddd")="Sun",K$13="",$D242=""),"",IF('Leave Planner'!I243="",1,0))</f>
        <v/>
      </c>
      <c r="L242" s="17" t="str">
        <f>IF(OR(TEXT(L$13,"ddd")="Sun",L$13="",$D242=""),"",IF('Leave Planner'!J243="",1,0))</f>
        <v/>
      </c>
      <c r="M242" s="17" t="str">
        <f>IF(OR(TEXT(M$13,"ddd")="Sun",M$13="",$D242=""),"",IF('Leave Planner'!K243="",1,0))</f>
        <v/>
      </c>
      <c r="N242" s="17" t="str">
        <f>IF(OR(TEXT(N$13,"ddd")="Sun",N$13="",$D242=""),"",IF('Leave Planner'!L243="",1,0))</f>
        <v/>
      </c>
      <c r="O242" s="17" t="str">
        <f>IF(OR(TEXT(O$13,"ddd")="Sun",O$13="",$D242=""),"",IF('Leave Planner'!M243="",1,0))</f>
        <v/>
      </c>
      <c r="P242" s="17" t="str">
        <f>IF(OR(TEXT(P$13,"ddd")="Sun",P$13="",$D242=""),"",IF('Leave Planner'!N243="",1,0))</f>
        <v/>
      </c>
      <c r="Q242" s="17" t="str">
        <f>IF(OR(TEXT(Q$13,"ddd")="Sun",Q$13="",$D242=""),"",IF('Leave Planner'!O243="",1,0))</f>
        <v/>
      </c>
      <c r="R242" s="17" t="str">
        <f>IF(OR(TEXT(R$13,"ddd")="Sun",R$13="",$D242=""),"",IF('Leave Planner'!P243="",1,0))</f>
        <v/>
      </c>
      <c r="S242" s="17" t="str">
        <f>IF(OR(TEXT(S$13,"ddd")="Sun",S$13="",$D242=""),"",IF('Leave Planner'!Q243="",1,0))</f>
        <v/>
      </c>
      <c r="T242" s="17" t="str">
        <f>IF(OR(TEXT(T$13,"ddd")="Sun",T$13="",$D242=""),"",IF('Leave Planner'!R243="",1,0))</f>
        <v/>
      </c>
      <c r="U242" s="17" t="str">
        <f>IF(OR(TEXT(U$13,"ddd")="Sun",U$13="",$D242=""),"",IF('Leave Planner'!S243="",1,0))</f>
        <v/>
      </c>
      <c r="V242" s="17" t="str">
        <f>IF(OR(TEXT(V$13,"ddd")="Sun",V$13="",$D242=""),"",IF('Leave Planner'!T243="",1,0))</f>
        <v/>
      </c>
      <c r="W242" s="17" t="str">
        <f>IF(OR(TEXT(W$13,"ddd")="Sun",W$13="",$D242=""),"",IF('Leave Planner'!U243="",1,0))</f>
        <v/>
      </c>
      <c r="X242" s="17" t="str">
        <f>IF(OR(TEXT(X$13,"ddd")="Sun",X$13="",$D242=""),"",IF('Leave Planner'!V243="",1,0))</f>
        <v/>
      </c>
      <c r="Y242" s="17" t="str">
        <f>IF(OR(TEXT(Y$13,"ddd")="Sun",Y$13="",$D242=""),"",IF('Leave Planner'!W243="",1,0))</f>
        <v/>
      </c>
      <c r="Z242" s="17" t="str">
        <f>IF(OR(TEXT(Z$13,"ddd")="Sun",Z$13="",$D242=""),"",IF('Leave Planner'!X243="",1,0))</f>
        <v/>
      </c>
      <c r="AA242" s="17" t="str">
        <f>IF(OR(TEXT(AA$13,"ddd")="Sun",AA$13="",$D242=""),"",IF('Leave Planner'!Y243="",1,0))</f>
        <v/>
      </c>
      <c r="AB242" s="17" t="str">
        <f>IF(OR(TEXT(AB$13,"ddd")="Sun",AB$13="",$D242=""),"",IF('Leave Planner'!Z243="",1,0))</f>
        <v/>
      </c>
      <c r="AC242" s="17" t="str">
        <f>IF(OR(TEXT(AC$13,"ddd")="Sun",AC$13="",$D242=""),"",IF('Leave Planner'!AA243="",1,0))</f>
        <v/>
      </c>
      <c r="AD242" s="17" t="str">
        <f>IF(OR(TEXT(AD$13,"ddd")="Sun",AD$13="",$D242=""),"",IF('Leave Planner'!AB243="",1,0))</f>
        <v/>
      </c>
      <c r="AE242" s="17" t="str">
        <f>IF(OR(TEXT(AE$13,"ddd")="Sun",AE$13="",$D242=""),"",IF('Leave Planner'!AC243="",1,0))</f>
        <v/>
      </c>
      <c r="AF242" s="17" t="str">
        <f>IF(OR(TEXT(AF$13,"ddd")="Sun",AF$13="",$D242=""),"",IF('Leave Planner'!AD243="",1,0))</f>
        <v/>
      </c>
      <c r="AG242" s="17" t="str">
        <f>IF(OR(TEXT(AG$13,"ddd")="Sun",AG$13="",$D242=""),"",IF('Leave Planner'!AE243="",1,0))</f>
        <v/>
      </c>
      <c r="AH242" s="17" t="str">
        <f>IF(OR(TEXT(AH$13,"ddd")="Sun",AH$13="",$D242=""),"",IF('Leave Planner'!AF243="",1,0))</f>
        <v/>
      </c>
      <c r="AI242" s="17" t="str">
        <f>IF(OR(TEXT(AI$13,"ddd")="Sun",AI$13="",$D242=""),"",IF('Leave Planner'!AG243="",1,0))</f>
        <v/>
      </c>
      <c r="AJ242" s="17" t="str">
        <f>IF(OR(TEXT(AJ$13,"ddd")="Sun",AJ$13="",$D242=""),"",IF('Leave Planner'!AH243="",1,0))</f>
        <v/>
      </c>
    </row>
    <row r="243" spans="2:36" x14ac:dyDescent="0.75">
      <c r="B243" s="15"/>
      <c r="C243" s="22"/>
      <c r="D243" s="22"/>
      <c r="E243" s="42" t="str">
        <f t="shared" si="8"/>
        <v/>
      </c>
      <c r="F243" s="17" t="str">
        <f>IF(OR(TEXT(F$13,"ddd")="Sun",F$13="",$D243=""),"",IF('Leave Planner'!D244="",1,0))</f>
        <v/>
      </c>
      <c r="G243" s="17" t="str">
        <f>IF(OR(TEXT(G$13,"ddd")="Sun",G$13="",$D243=""),"",IF('Leave Planner'!E244="",1,0))</f>
        <v/>
      </c>
      <c r="H243" s="17" t="str">
        <f>IF(OR(TEXT(H$13,"ddd")="Sun",H$13="",$D243=""),"",IF('Leave Planner'!F244="",1,0))</f>
        <v/>
      </c>
      <c r="I243" s="17" t="str">
        <f>IF(OR(TEXT(I$13,"ddd")="Sun",I$13="",$D243=""),"",IF('Leave Planner'!G244="",1,0))</f>
        <v/>
      </c>
      <c r="J243" s="17" t="str">
        <f>IF(OR(TEXT(J$13,"ddd")="Sun",J$13="",$D243=""),"",IF('Leave Planner'!H244="",1,0))</f>
        <v/>
      </c>
      <c r="K243" s="17" t="str">
        <f>IF(OR(TEXT(K$13,"ddd")="Sun",K$13="",$D243=""),"",IF('Leave Planner'!I244="",1,0))</f>
        <v/>
      </c>
      <c r="L243" s="17" t="str">
        <f>IF(OR(TEXT(L$13,"ddd")="Sun",L$13="",$D243=""),"",IF('Leave Planner'!J244="",1,0))</f>
        <v/>
      </c>
      <c r="M243" s="17" t="str">
        <f>IF(OR(TEXT(M$13,"ddd")="Sun",M$13="",$D243=""),"",IF('Leave Planner'!K244="",1,0))</f>
        <v/>
      </c>
      <c r="N243" s="17" t="str">
        <f>IF(OR(TEXT(N$13,"ddd")="Sun",N$13="",$D243=""),"",IF('Leave Planner'!L244="",1,0))</f>
        <v/>
      </c>
      <c r="O243" s="17" t="str">
        <f>IF(OR(TEXT(O$13,"ddd")="Sun",O$13="",$D243=""),"",IF('Leave Planner'!M244="",1,0))</f>
        <v/>
      </c>
      <c r="P243" s="17" t="str">
        <f>IF(OR(TEXT(P$13,"ddd")="Sun",P$13="",$D243=""),"",IF('Leave Planner'!N244="",1,0))</f>
        <v/>
      </c>
      <c r="Q243" s="17" t="str">
        <f>IF(OR(TEXT(Q$13,"ddd")="Sun",Q$13="",$D243=""),"",IF('Leave Planner'!O244="",1,0))</f>
        <v/>
      </c>
      <c r="R243" s="17" t="str">
        <f>IF(OR(TEXT(R$13,"ddd")="Sun",R$13="",$D243=""),"",IF('Leave Planner'!P244="",1,0))</f>
        <v/>
      </c>
      <c r="S243" s="17" t="str">
        <f>IF(OR(TEXT(S$13,"ddd")="Sun",S$13="",$D243=""),"",IF('Leave Planner'!Q244="",1,0))</f>
        <v/>
      </c>
      <c r="T243" s="17" t="str">
        <f>IF(OR(TEXT(T$13,"ddd")="Sun",T$13="",$D243=""),"",IF('Leave Planner'!R244="",1,0))</f>
        <v/>
      </c>
      <c r="U243" s="17" t="str">
        <f>IF(OR(TEXT(U$13,"ddd")="Sun",U$13="",$D243=""),"",IF('Leave Planner'!S244="",1,0))</f>
        <v/>
      </c>
      <c r="V243" s="17" t="str">
        <f>IF(OR(TEXT(V$13,"ddd")="Sun",V$13="",$D243=""),"",IF('Leave Planner'!T244="",1,0))</f>
        <v/>
      </c>
      <c r="W243" s="17" t="str">
        <f>IF(OR(TEXT(W$13,"ddd")="Sun",W$13="",$D243=""),"",IF('Leave Planner'!U244="",1,0))</f>
        <v/>
      </c>
      <c r="X243" s="17" t="str">
        <f>IF(OR(TEXT(X$13,"ddd")="Sun",X$13="",$D243=""),"",IF('Leave Planner'!V244="",1,0))</f>
        <v/>
      </c>
      <c r="Y243" s="17" t="str">
        <f>IF(OR(TEXT(Y$13,"ddd")="Sun",Y$13="",$D243=""),"",IF('Leave Planner'!W244="",1,0))</f>
        <v/>
      </c>
      <c r="Z243" s="17" t="str">
        <f>IF(OR(TEXT(Z$13,"ddd")="Sun",Z$13="",$D243=""),"",IF('Leave Planner'!X244="",1,0))</f>
        <v/>
      </c>
      <c r="AA243" s="17" t="str">
        <f>IF(OR(TEXT(AA$13,"ddd")="Sun",AA$13="",$D243=""),"",IF('Leave Planner'!Y244="",1,0))</f>
        <v/>
      </c>
      <c r="AB243" s="17" t="str">
        <f>IF(OR(TEXT(AB$13,"ddd")="Sun",AB$13="",$D243=""),"",IF('Leave Planner'!Z244="",1,0))</f>
        <v/>
      </c>
      <c r="AC243" s="17" t="str">
        <f>IF(OR(TEXT(AC$13,"ddd")="Sun",AC$13="",$D243=""),"",IF('Leave Planner'!AA244="",1,0))</f>
        <v/>
      </c>
      <c r="AD243" s="17" t="str">
        <f>IF(OR(TEXT(AD$13,"ddd")="Sun",AD$13="",$D243=""),"",IF('Leave Planner'!AB244="",1,0))</f>
        <v/>
      </c>
      <c r="AE243" s="17" t="str">
        <f>IF(OR(TEXT(AE$13,"ddd")="Sun",AE$13="",$D243=""),"",IF('Leave Planner'!AC244="",1,0))</f>
        <v/>
      </c>
      <c r="AF243" s="17" t="str">
        <f>IF(OR(TEXT(AF$13,"ddd")="Sun",AF$13="",$D243=""),"",IF('Leave Planner'!AD244="",1,0))</f>
        <v/>
      </c>
      <c r="AG243" s="17" t="str">
        <f>IF(OR(TEXT(AG$13,"ddd")="Sun",AG$13="",$D243=""),"",IF('Leave Planner'!AE244="",1,0))</f>
        <v/>
      </c>
      <c r="AH243" s="17" t="str">
        <f>IF(OR(TEXT(AH$13,"ddd")="Sun",AH$13="",$D243=""),"",IF('Leave Planner'!AF244="",1,0))</f>
        <v/>
      </c>
      <c r="AI243" s="17" t="str">
        <f>IF(OR(TEXT(AI$13,"ddd")="Sun",AI$13="",$D243=""),"",IF('Leave Planner'!AG244="",1,0))</f>
        <v/>
      </c>
      <c r="AJ243" s="17" t="str">
        <f>IF(OR(TEXT(AJ$13,"ddd")="Sun",AJ$13="",$D243=""),"",IF('Leave Planner'!AH244="",1,0))</f>
        <v/>
      </c>
    </row>
    <row r="244" spans="2:36" x14ac:dyDescent="0.75">
      <c r="B244" s="15"/>
      <c r="C244" s="22"/>
      <c r="D244" s="22"/>
      <c r="E244" s="42" t="str">
        <f t="shared" si="8"/>
        <v/>
      </c>
      <c r="F244" s="17" t="str">
        <f>IF(OR(TEXT(F$13,"ddd")="Sun",F$13="",$D244=""),"",IF('Leave Planner'!D245="",1,0))</f>
        <v/>
      </c>
      <c r="G244" s="17" t="str">
        <f>IF(OR(TEXT(G$13,"ddd")="Sun",G$13="",$D244=""),"",IF('Leave Planner'!E245="",1,0))</f>
        <v/>
      </c>
      <c r="H244" s="17" t="str">
        <f>IF(OR(TEXT(H$13,"ddd")="Sun",H$13="",$D244=""),"",IF('Leave Planner'!F245="",1,0))</f>
        <v/>
      </c>
      <c r="I244" s="17" t="str">
        <f>IF(OR(TEXT(I$13,"ddd")="Sun",I$13="",$D244=""),"",IF('Leave Planner'!G245="",1,0))</f>
        <v/>
      </c>
      <c r="J244" s="17" t="str">
        <f>IF(OR(TEXT(J$13,"ddd")="Sun",J$13="",$D244=""),"",IF('Leave Planner'!H245="",1,0))</f>
        <v/>
      </c>
      <c r="K244" s="17" t="str">
        <f>IF(OR(TEXT(K$13,"ddd")="Sun",K$13="",$D244=""),"",IF('Leave Planner'!I245="",1,0))</f>
        <v/>
      </c>
      <c r="L244" s="17" t="str">
        <f>IF(OR(TEXT(L$13,"ddd")="Sun",L$13="",$D244=""),"",IF('Leave Planner'!J245="",1,0))</f>
        <v/>
      </c>
      <c r="M244" s="17" t="str">
        <f>IF(OR(TEXT(M$13,"ddd")="Sun",M$13="",$D244=""),"",IF('Leave Planner'!K245="",1,0))</f>
        <v/>
      </c>
      <c r="N244" s="17" t="str">
        <f>IF(OR(TEXT(N$13,"ddd")="Sun",N$13="",$D244=""),"",IF('Leave Planner'!L245="",1,0))</f>
        <v/>
      </c>
      <c r="O244" s="17" t="str">
        <f>IF(OR(TEXT(O$13,"ddd")="Sun",O$13="",$D244=""),"",IF('Leave Planner'!M245="",1,0))</f>
        <v/>
      </c>
      <c r="P244" s="17" t="str">
        <f>IF(OR(TEXT(P$13,"ddd")="Sun",P$13="",$D244=""),"",IF('Leave Planner'!N245="",1,0))</f>
        <v/>
      </c>
      <c r="Q244" s="17" t="str">
        <f>IF(OR(TEXT(Q$13,"ddd")="Sun",Q$13="",$D244=""),"",IF('Leave Planner'!O245="",1,0))</f>
        <v/>
      </c>
      <c r="R244" s="17" t="str">
        <f>IF(OR(TEXT(R$13,"ddd")="Sun",R$13="",$D244=""),"",IF('Leave Planner'!P245="",1,0))</f>
        <v/>
      </c>
      <c r="S244" s="17" t="str">
        <f>IF(OR(TEXT(S$13,"ddd")="Sun",S$13="",$D244=""),"",IF('Leave Planner'!Q245="",1,0))</f>
        <v/>
      </c>
      <c r="T244" s="17" t="str">
        <f>IF(OR(TEXT(T$13,"ddd")="Sun",T$13="",$D244=""),"",IF('Leave Planner'!R245="",1,0))</f>
        <v/>
      </c>
      <c r="U244" s="17" t="str">
        <f>IF(OR(TEXT(U$13,"ddd")="Sun",U$13="",$D244=""),"",IF('Leave Planner'!S245="",1,0))</f>
        <v/>
      </c>
      <c r="V244" s="17" t="str">
        <f>IF(OR(TEXT(V$13,"ddd")="Sun",V$13="",$D244=""),"",IF('Leave Planner'!T245="",1,0))</f>
        <v/>
      </c>
      <c r="W244" s="17" t="str">
        <f>IF(OR(TEXT(W$13,"ddd")="Sun",W$13="",$D244=""),"",IF('Leave Planner'!U245="",1,0))</f>
        <v/>
      </c>
      <c r="X244" s="17" t="str">
        <f>IF(OR(TEXT(X$13,"ddd")="Sun",X$13="",$D244=""),"",IF('Leave Planner'!V245="",1,0))</f>
        <v/>
      </c>
      <c r="Y244" s="17" t="str">
        <f>IF(OR(TEXT(Y$13,"ddd")="Sun",Y$13="",$D244=""),"",IF('Leave Planner'!W245="",1,0))</f>
        <v/>
      </c>
      <c r="Z244" s="17" t="str">
        <f>IF(OR(TEXT(Z$13,"ddd")="Sun",Z$13="",$D244=""),"",IF('Leave Planner'!X245="",1,0))</f>
        <v/>
      </c>
      <c r="AA244" s="17" t="str">
        <f>IF(OR(TEXT(AA$13,"ddd")="Sun",AA$13="",$D244=""),"",IF('Leave Planner'!Y245="",1,0))</f>
        <v/>
      </c>
      <c r="AB244" s="17" t="str">
        <f>IF(OR(TEXT(AB$13,"ddd")="Sun",AB$13="",$D244=""),"",IF('Leave Planner'!Z245="",1,0))</f>
        <v/>
      </c>
      <c r="AC244" s="17" t="str">
        <f>IF(OR(TEXT(AC$13,"ddd")="Sun",AC$13="",$D244=""),"",IF('Leave Planner'!AA245="",1,0))</f>
        <v/>
      </c>
      <c r="AD244" s="17" t="str">
        <f>IF(OR(TEXT(AD$13,"ddd")="Sun",AD$13="",$D244=""),"",IF('Leave Planner'!AB245="",1,0))</f>
        <v/>
      </c>
      <c r="AE244" s="17" t="str">
        <f>IF(OR(TEXT(AE$13,"ddd")="Sun",AE$13="",$D244=""),"",IF('Leave Planner'!AC245="",1,0))</f>
        <v/>
      </c>
      <c r="AF244" s="17" t="str">
        <f>IF(OR(TEXT(AF$13,"ddd")="Sun",AF$13="",$D244=""),"",IF('Leave Planner'!AD245="",1,0))</f>
        <v/>
      </c>
      <c r="AG244" s="17" t="str">
        <f>IF(OR(TEXT(AG$13,"ddd")="Sun",AG$13="",$D244=""),"",IF('Leave Planner'!AE245="",1,0))</f>
        <v/>
      </c>
      <c r="AH244" s="17" t="str">
        <f>IF(OR(TEXT(AH$13,"ddd")="Sun",AH$13="",$D244=""),"",IF('Leave Planner'!AF245="",1,0))</f>
        <v/>
      </c>
      <c r="AI244" s="17" t="str">
        <f>IF(OR(TEXT(AI$13,"ddd")="Sun",AI$13="",$D244=""),"",IF('Leave Planner'!AG245="",1,0))</f>
        <v/>
      </c>
      <c r="AJ244" s="17" t="str">
        <f>IF(OR(TEXT(AJ$13,"ddd")="Sun",AJ$13="",$D244=""),"",IF('Leave Planner'!AH245="",1,0))</f>
        <v/>
      </c>
    </row>
    <row r="245" spans="2:36" x14ac:dyDescent="0.75">
      <c r="B245" s="15"/>
      <c r="C245" s="22"/>
      <c r="D245" s="22"/>
      <c r="E245" s="42" t="str">
        <f t="shared" si="8"/>
        <v/>
      </c>
      <c r="F245" s="17" t="str">
        <f>IF(OR(TEXT(F$13,"ddd")="Sun",F$13="",$D245=""),"",IF('Leave Planner'!D246="",1,0))</f>
        <v/>
      </c>
      <c r="G245" s="17" t="str">
        <f>IF(OR(TEXT(G$13,"ddd")="Sun",G$13="",$D245=""),"",IF('Leave Planner'!E246="",1,0))</f>
        <v/>
      </c>
      <c r="H245" s="17" t="str">
        <f>IF(OR(TEXT(H$13,"ddd")="Sun",H$13="",$D245=""),"",IF('Leave Planner'!F246="",1,0))</f>
        <v/>
      </c>
      <c r="I245" s="17" t="str">
        <f>IF(OR(TEXT(I$13,"ddd")="Sun",I$13="",$D245=""),"",IF('Leave Planner'!G246="",1,0))</f>
        <v/>
      </c>
      <c r="J245" s="17" t="str">
        <f>IF(OR(TEXT(J$13,"ddd")="Sun",J$13="",$D245=""),"",IF('Leave Planner'!H246="",1,0))</f>
        <v/>
      </c>
      <c r="K245" s="17" t="str">
        <f>IF(OR(TEXT(K$13,"ddd")="Sun",K$13="",$D245=""),"",IF('Leave Planner'!I246="",1,0))</f>
        <v/>
      </c>
      <c r="L245" s="17" t="str">
        <f>IF(OR(TEXT(L$13,"ddd")="Sun",L$13="",$D245=""),"",IF('Leave Planner'!J246="",1,0))</f>
        <v/>
      </c>
      <c r="M245" s="17" t="str">
        <f>IF(OR(TEXT(M$13,"ddd")="Sun",M$13="",$D245=""),"",IF('Leave Planner'!K246="",1,0))</f>
        <v/>
      </c>
      <c r="N245" s="17" t="str">
        <f>IF(OR(TEXT(N$13,"ddd")="Sun",N$13="",$D245=""),"",IF('Leave Planner'!L246="",1,0))</f>
        <v/>
      </c>
      <c r="O245" s="17" t="str">
        <f>IF(OR(TEXT(O$13,"ddd")="Sun",O$13="",$D245=""),"",IF('Leave Planner'!M246="",1,0))</f>
        <v/>
      </c>
      <c r="P245" s="17" t="str">
        <f>IF(OR(TEXT(P$13,"ddd")="Sun",P$13="",$D245=""),"",IF('Leave Planner'!N246="",1,0))</f>
        <v/>
      </c>
      <c r="Q245" s="17" t="str">
        <f>IF(OR(TEXT(Q$13,"ddd")="Sun",Q$13="",$D245=""),"",IF('Leave Planner'!O246="",1,0))</f>
        <v/>
      </c>
      <c r="R245" s="17" t="str">
        <f>IF(OR(TEXT(R$13,"ddd")="Sun",R$13="",$D245=""),"",IF('Leave Planner'!P246="",1,0))</f>
        <v/>
      </c>
      <c r="S245" s="17" t="str">
        <f>IF(OR(TEXT(S$13,"ddd")="Sun",S$13="",$D245=""),"",IF('Leave Planner'!Q246="",1,0))</f>
        <v/>
      </c>
      <c r="T245" s="17" t="str">
        <f>IF(OR(TEXT(T$13,"ddd")="Sun",T$13="",$D245=""),"",IF('Leave Planner'!R246="",1,0))</f>
        <v/>
      </c>
      <c r="U245" s="17" t="str">
        <f>IF(OR(TEXT(U$13,"ddd")="Sun",U$13="",$D245=""),"",IF('Leave Planner'!S246="",1,0))</f>
        <v/>
      </c>
      <c r="V245" s="17" t="str">
        <f>IF(OR(TEXT(V$13,"ddd")="Sun",V$13="",$D245=""),"",IF('Leave Planner'!T246="",1,0))</f>
        <v/>
      </c>
      <c r="W245" s="17" t="str">
        <f>IF(OR(TEXT(W$13,"ddd")="Sun",W$13="",$D245=""),"",IF('Leave Planner'!U246="",1,0))</f>
        <v/>
      </c>
      <c r="X245" s="17" t="str">
        <f>IF(OR(TEXT(X$13,"ddd")="Sun",X$13="",$D245=""),"",IF('Leave Planner'!V246="",1,0))</f>
        <v/>
      </c>
      <c r="Y245" s="17" t="str">
        <f>IF(OR(TEXT(Y$13,"ddd")="Sun",Y$13="",$D245=""),"",IF('Leave Planner'!W246="",1,0))</f>
        <v/>
      </c>
      <c r="Z245" s="17" t="str">
        <f>IF(OR(TEXT(Z$13,"ddd")="Sun",Z$13="",$D245=""),"",IF('Leave Planner'!X246="",1,0))</f>
        <v/>
      </c>
      <c r="AA245" s="17" t="str">
        <f>IF(OR(TEXT(AA$13,"ddd")="Sun",AA$13="",$D245=""),"",IF('Leave Planner'!Y246="",1,0))</f>
        <v/>
      </c>
      <c r="AB245" s="17" t="str">
        <f>IF(OR(TEXT(AB$13,"ddd")="Sun",AB$13="",$D245=""),"",IF('Leave Planner'!Z246="",1,0))</f>
        <v/>
      </c>
      <c r="AC245" s="17" t="str">
        <f>IF(OR(TEXT(AC$13,"ddd")="Sun",AC$13="",$D245=""),"",IF('Leave Planner'!AA246="",1,0))</f>
        <v/>
      </c>
      <c r="AD245" s="17" t="str">
        <f>IF(OR(TEXT(AD$13,"ddd")="Sun",AD$13="",$D245=""),"",IF('Leave Planner'!AB246="",1,0))</f>
        <v/>
      </c>
      <c r="AE245" s="17" t="str">
        <f>IF(OR(TEXT(AE$13,"ddd")="Sun",AE$13="",$D245=""),"",IF('Leave Planner'!AC246="",1,0))</f>
        <v/>
      </c>
      <c r="AF245" s="17" t="str">
        <f>IF(OR(TEXT(AF$13,"ddd")="Sun",AF$13="",$D245=""),"",IF('Leave Planner'!AD246="",1,0))</f>
        <v/>
      </c>
      <c r="AG245" s="17" t="str">
        <f>IF(OR(TEXT(AG$13,"ddd")="Sun",AG$13="",$D245=""),"",IF('Leave Planner'!AE246="",1,0))</f>
        <v/>
      </c>
      <c r="AH245" s="17" t="str">
        <f>IF(OR(TEXT(AH$13,"ddd")="Sun",AH$13="",$D245=""),"",IF('Leave Planner'!AF246="",1,0))</f>
        <v/>
      </c>
      <c r="AI245" s="17" t="str">
        <f>IF(OR(TEXT(AI$13,"ddd")="Sun",AI$13="",$D245=""),"",IF('Leave Planner'!AG246="",1,0))</f>
        <v/>
      </c>
      <c r="AJ245" s="17" t="str">
        <f>IF(OR(TEXT(AJ$13,"ddd")="Sun",AJ$13="",$D245=""),"",IF('Leave Planner'!AH246="",1,0))</f>
        <v/>
      </c>
    </row>
    <row r="246" spans="2:36" x14ac:dyDescent="0.75">
      <c r="B246" s="15"/>
      <c r="C246" s="22"/>
      <c r="D246" s="22"/>
      <c r="E246" s="42" t="str">
        <f t="shared" si="8"/>
        <v/>
      </c>
      <c r="F246" s="17" t="str">
        <f>IF(OR(TEXT(F$13,"ddd")="Sun",F$13="",$D246=""),"",IF('Leave Planner'!D247="",1,0))</f>
        <v/>
      </c>
      <c r="G246" s="17" t="str">
        <f>IF(OR(TEXT(G$13,"ddd")="Sun",G$13="",$D246=""),"",IF('Leave Planner'!E247="",1,0))</f>
        <v/>
      </c>
      <c r="H246" s="17" t="str">
        <f>IF(OR(TEXT(H$13,"ddd")="Sun",H$13="",$D246=""),"",IF('Leave Planner'!F247="",1,0))</f>
        <v/>
      </c>
      <c r="I246" s="17" t="str">
        <f>IF(OR(TEXT(I$13,"ddd")="Sun",I$13="",$D246=""),"",IF('Leave Planner'!G247="",1,0))</f>
        <v/>
      </c>
      <c r="J246" s="17" t="str">
        <f>IF(OR(TEXT(J$13,"ddd")="Sun",J$13="",$D246=""),"",IF('Leave Planner'!H247="",1,0))</f>
        <v/>
      </c>
      <c r="K246" s="17" t="str">
        <f>IF(OR(TEXT(K$13,"ddd")="Sun",K$13="",$D246=""),"",IF('Leave Planner'!I247="",1,0))</f>
        <v/>
      </c>
      <c r="L246" s="17" t="str">
        <f>IF(OR(TEXT(L$13,"ddd")="Sun",L$13="",$D246=""),"",IF('Leave Planner'!J247="",1,0))</f>
        <v/>
      </c>
      <c r="M246" s="17" t="str">
        <f>IF(OR(TEXT(M$13,"ddd")="Sun",M$13="",$D246=""),"",IF('Leave Planner'!K247="",1,0))</f>
        <v/>
      </c>
      <c r="N246" s="17" t="str">
        <f>IF(OR(TEXT(N$13,"ddd")="Sun",N$13="",$D246=""),"",IF('Leave Planner'!L247="",1,0))</f>
        <v/>
      </c>
      <c r="O246" s="17" t="str">
        <f>IF(OR(TEXT(O$13,"ddd")="Sun",O$13="",$D246=""),"",IF('Leave Planner'!M247="",1,0))</f>
        <v/>
      </c>
      <c r="P246" s="17" t="str">
        <f>IF(OR(TEXT(P$13,"ddd")="Sun",P$13="",$D246=""),"",IF('Leave Planner'!N247="",1,0))</f>
        <v/>
      </c>
      <c r="Q246" s="17" t="str">
        <f>IF(OR(TEXT(Q$13,"ddd")="Sun",Q$13="",$D246=""),"",IF('Leave Planner'!O247="",1,0))</f>
        <v/>
      </c>
      <c r="R246" s="17" t="str">
        <f>IF(OR(TEXT(R$13,"ddd")="Sun",R$13="",$D246=""),"",IF('Leave Planner'!P247="",1,0))</f>
        <v/>
      </c>
      <c r="S246" s="17" t="str">
        <f>IF(OR(TEXT(S$13,"ddd")="Sun",S$13="",$D246=""),"",IF('Leave Planner'!Q247="",1,0))</f>
        <v/>
      </c>
      <c r="T246" s="17" t="str">
        <f>IF(OR(TEXT(T$13,"ddd")="Sun",T$13="",$D246=""),"",IF('Leave Planner'!R247="",1,0))</f>
        <v/>
      </c>
      <c r="U246" s="17" t="str">
        <f>IF(OR(TEXT(U$13,"ddd")="Sun",U$13="",$D246=""),"",IF('Leave Planner'!S247="",1,0))</f>
        <v/>
      </c>
      <c r="V246" s="17" t="str">
        <f>IF(OR(TEXT(V$13,"ddd")="Sun",V$13="",$D246=""),"",IF('Leave Planner'!T247="",1,0))</f>
        <v/>
      </c>
      <c r="W246" s="17" t="str">
        <f>IF(OR(TEXT(W$13,"ddd")="Sun",W$13="",$D246=""),"",IF('Leave Planner'!U247="",1,0))</f>
        <v/>
      </c>
      <c r="X246" s="17" t="str">
        <f>IF(OR(TEXT(X$13,"ddd")="Sun",X$13="",$D246=""),"",IF('Leave Planner'!V247="",1,0))</f>
        <v/>
      </c>
      <c r="Y246" s="17" t="str">
        <f>IF(OR(TEXT(Y$13,"ddd")="Sun",Y$13="",$D246=""),"",IF('Leave Planner'!W247="",1,0))</f>
        <v/>
      </c>
      <c r="Z246" s="17" t="str">
        <f>IF(OR(TEXT(Z$13,"ddd")="Sun",Z$13="",$D246=""),"",IF('Leave Planner'!X247="",1,0))</f>
        <v/>
      </c>
      <c r="AA246" s="17" t="str">
        <f>IF(OR(TEXT(AA$13,"ddd")="Sun",AA$13="",$D246=""),"",IF('Leave Planner'!Y247="",1,0))</f>
        <v/>
      </c>
      <c r="AB246" s="17" t="str">
        <f>IF(OR(TEXT(AB$13,"ddd")="Sun",AB$13="",$D246=""),"",IF('Leave Planner'!Z247="",1,0))</f>
        <v/>
      </c>
      <c r="AC246" s="17" t="str">
        <f>IF(OR(TEXT(AC$13,"ddd")="Sun",AC$13="",$D246=""),"",IF('Leave Planner'!AA247="",1,0))</f>
        <v/>
      </c>
      <c r="AD246" s="17" t="str">
        <f>IF(OR(TEXT(AD$13,"ddd")="Sun",AD$13="",$D246=""),"",IF('Leave Planner'!AB247="",1,0))</f>
        <v/>
      </c>
      <c r="AE246" s="17" t="str">
        <f>IF(OR(TEXT(AE$13,"ddd")="Sun",AE$13="",$D246=""),"",IF('Leave Planner'!AC247="",1,0))</f>
        <v/>
      </c>
      <c r="AF246" s="17" t="str">
        <f>IF(OR(TEXT(AF$13,"ddd")="Sun",AF$13="",$D246=""),"",IF('Leave Planner'!AD247="",1,0))</f>
        <v/>
      </c>
      <c r="AG246" s="17" t="str">
        <f>IF(OR(TEXT(AG$13,"ddd")="Sun",AG$13="",$D246=""),"",IF('Leave Planner'!AE247="",1,0))</f>
        <v/>
      </c>
      <c r="AH246" s="17" t="str">
        <f>IF(OR(TEXT(AH$13,"ddd")="Sun",AH$13="",$D246=""),"",IF('Leave Planner'!AF247="",1,0))</f>
        <v/>
      </c>
      <c r="AI246" s="17" t="str">
        <f>IF(OR(TEXT(AI$13,"ddd")="Sun",AI$13="",$D246=""),"",IF('Leave Planner'!AG247="",1,0))</f>
        <v/>
      </c>
      <c r="AJ246" s="17" t="str">
        <f>IF(OR(TEXT(AJ$13,"ddd")="Sun",AJ$13="",$D246=""),"",IF('Leave Planner'!AH247="",1,0))</f>
        <v/>
      </c>
    </row>
    <row r="247" spans="2:36" x14ac:dyDescent="0.75">
      <c r="B247" s="15"/>
      <c r="C247" s="22"/>
      <c r="D247" s="22"/>
      <c r="E247" s="42" t="str">
        <f t="shared" si="8"/>
        <v/>
      </c>
      <c r="F247" s="17" t="str">
        <f>IF(OR(TEXT(F$13,"ddd")="Sun",F$13="",$D247=""),"",IF('Leave Planner'!D248="",1,0))</f>
        <v/>
      </c>
      <c r="G247" s="17" t="str">
        <f>IF(OR(TEXT(G$13,"ddd")="Sun",G$13="",$D247=""),"",IF('Leave Planner'!E248="",1,0))</f>
        <v/>
      </c>
      <c r="H247" s="17" t="str">
        <f>IF(OR(TEXT(H$13,"ddd")="Sun",H$13="",$D247=""),"",IF('Leave Planner'!F248="",1,0))</f>
        <v/>
      </c>
      <c r="I247" s="17" t="str">
        <f>IF(OR(TEXT(I$13,"ddd")="Sun",I$13="",$D247=""),"",IF('Leave Planner'!G248="",1,0))</f>
        <v/>
      </c>
      <c r="J247" s="17" t="str">
        <f>IF(OR(TEXT(J$13,"ddd")="Sun",J$13="",$D247=""),"",IF('Leave Planner'!H248="",1,0))</f>
        <v/>
      </c>
      <c r="K247" s="17" t="str">
        <f>IF(OR(TEXT(K$13,"ddd")="Sun",K$13="",$D247=""),"",IF('Leave Planner'!I248="",1,0))</f>
        <v/>
      </c>
      <c r="L247" s="17" t="str">
        <f>IF(OR(TEXT(L$13,"ddd")="Sun",L$13="",$D247=""),"",IF('Leave Planner'!J248="",1,0))</f>
        <v/>
      </c>
      <c r="M247" s="17" t="str">
        <f>IF(OR(TEXT(M$13,"ddd")="Sun",M$13="",$D247=""),"",IF('Leave Planner'!K248="",1,0))</f>
        <v/>
      </c>
      <c r="N247" s="17" t="str">
        <f>IF(OR(TEXT(N$13,"ddd")="Sun",N$13="",$D247=""),"",IF('Leave Planner'!L248="",1,0))</f>
        <v/>
      </c>
      <c r="O247" s="17" t="str">
        <f>IF(OR(TEXT(O$13,"ddd")="Sun",O$13="",$D247=""),"",IF('Leave Planner'!M248="",1,0))</f>
        <v/>
      </c>
      <c r="P247" s="17" t="str">
        <f>IF(OR(TEXT(P$13,"ddd")="Sun",P$13="",$D247=""),"",IF('Leave Planner'!N248="",1,0))</f>
        <v/>
      </c>
      <c r="Q247" s="17" t="str">
        <f>IF(OR(TEXT(Q$13,"ddd")="Sun",Q$13="",$D247=""),"",IF('Leave Planner'!O248="",1,0))</f>
        <v/>
      </c>
      <c r="R247" s="17" t="str">
        <f>IF(OR(TEXT(R$13,"ddd")="Sun",R$13="",$D247=""),"",IF('Leave Planner'!P248="",1,0))</f>
        <v/>
      </c>
      <c r="S247" s="17" t="str">
        <f>IF(OR(TEXT(S$13,"ddd")="Sun",S$13="",$D247=""),"",IF('Leave Planner'!Q248="",1,0))</f>
        <v/>
      </c>
      <c r="T247" s="17" t="str">
        <f>IF(OR(TEXT(T$13,"ddd")="Sun",T$13="",$D247=""),"",IF('Leave Planner'!R248="",1,0))</f>
        <v/>
      </c>
      <c r="U247" s="17" t="str">
        <f>IF(OR(TEXT(U$13,"ddd")="Sun",U$13="",$D247=""),"",IF('Leave Planner'!S248="",1,0))</f>
        <v/>
      </c>
      <c r="V247" s="17" t="str">
        <f>IF(OR(TEXT(V$13,"ddd")="Sun",V$13="",$D247=""),"",IF('Leave Planner'!T248="",1,0))</f>
        <v/>
      </c>
      <c r="W247" s="17" t="str">
        <f>IF(OR(TEXT(W$13,"ddd")="Sun",W$13="",$D247=""),"",IF('Leave Planner'!U248="",1,0))</f>
        <v/>
      </c>
      <c r="X247" s="17" t="str">
        <f>IF(OR(TEXT(X$13,"ddd")="Sun",X$13="",$D247=""),"",IF('Leave Planner'!V248="",1,0))</f>
        <v/>
      </c>
      <c r="Y247" s="17" t="str">
        <f>IF(OR(TEXT(Y$13,"ddd")="Sun",Y$13="",$D247=""),"",IF('Leave Planner'!W248="",1,0))</f>
        <v/>
      </c>
      <c r="Z247" s="17" t="str">
        <f>IF(OR(TEXT(Z$13,"ddd")="Sun",Z$13="",$D247=""),"",IF('Leave Planner'!X248="",1,0))</f>
        <v/>
      </c>
      <c r="AA247" s="17" t="str">
        <f>IF(OR(TEXT(AA$13,"ddd")="Sun",AA$13="",$D247=""),"",IF('Leave Planner'!Y248="",1,0))</f>
        <v/>
      </c>
      <c r="AB247" s="17" t="str">
        <f>IF(OR(TEXT(AB$13,"ddd")="Sun",AB$13="",$D247=""),"",IF('Leave Planner'!Z248="",1,0))</f>
        <v/>
      </c>
      <c r="AC247" s="17" t="str">
        <f>IF(OR(TEXT(AC$13,"ddd")="Sun",AC$13="",$D247=""),"",IF('Leave Planner'!AA248="",1,0))</f>
        <v/>
      </c>
      <c r="AD247" s="17" t="str">
        <f>IF(OR(TEXT(AD$13,"ddd")="Sun",AD$13="",$D247=""),"",IF('Leave Planner'!AB248="",1,0))</f>
        <v/>
      </c>
      <c r="AE247" s="17" t="str">
        <f>IF(OR(TEXT(AE$13,"ddd")="Sun",AE$13="",$D247=""),"",IF('Leave Planner'!AC248="",1,0))</f>
        <v/>
      </c>
      <c r="AF247" s="17" t="str">
        <f>IF(OR(TEXT(AF$13,"ddd")="Sun",AF$13="",$D247=""),"",IF('Leave Planner'!AD248="",1,0))</f>
        <v/>
      </c>
      <c r="AG247" s="17" t="str">
        <f>IF(OR(TEXT(AG$13,"ddd")="Sun",AG$13="",$D247=""),"",IF('Leave Planner'!AE248="",1,0))</f>
        <v/>
      </c>
      <c r="AH247" s="17" t="str">
        <f>IF(OR(TEXT(AH$13,"ddd")="Sun",AH$13="",$D247=""),"",IF('Leave Planner'!AF248="",1,0))</f>
        <v/>
      </c>
      <c r="AI247" s="17" t="str">
        <f>IF(OR(TEXT(AI$13,"ddd")="Sun",AI$13="",$D247=""),"",IF('Leave Planner'!AG248="",1,0))</f>
        <v/>
      </c>
      <c r="AJ247" s="17" t="str">
        <f>IF(OR(TEXT(AJ$13,"ddd")="Sun",AJ$13="",$D247=""),"",IF('Leave Planner'!AH248="",1,0))</f>
        <v/>
      </c>
    </row>
    <row r="248" spans="2:36" x14ac:dyDescent="0.75">
      <c r="B248" s="15"/>
      <c r="C248" s="22"/>
      <c r="D248" s="22"/>
      <c r="E248" s="42" t="str">
        <f t="shared" si="8"/>
        <v/>
      </c>
      <c r="F248" s="17" t="str">
        <f>IF(OR(TEXT(F$13,"ddd")="Sun",F$13="",$D248=""),"",IF('Leave Planner'!D249="",1,0))</f>
        <v/>
      </c>
      <c r="G248" s="17" t="str">
        <f>IF(OR(TEXT(G$13,"ddd")="Sun",G$13="",$D248=""),"",IF('Leave Planner'!E249="",1,0))</f>
        <v/>
      </c>
      <c r="H248" s="17" t="str">
        <f>IF(OR(TEXT(H$13,"ddd")="Sun",H$13="",$D248=""),"",IF('Leave Planner'!F249="",1,0))</f>
        <v/>
      </c>
      <c r="I248" s="17" t="str">
        <f>IF(OR(TEXT(I$13,"ddd")="Sun",I$13="",$D248=""),"",IF('Leave Planner'!G249="",1,0))</f>
        <v/>
      </c>
      <c r="J248" s="17" t="str">
        <f>IF(OR(TEXT(J$13,"ddd")="Sun",J$13="",$D248=""),"",IF('Leave Planner'!H249="",1,0))</f>
        <v/>
      </c>
      <c r="K248" s="17" t="str">
        <f>IF(OR(TEXT(K$13,"ddd")="Sun",K$13="",$D248=""),"",IF('Leave Planner'!I249="",1,0))</f>
        <v/>
      </c>
      <c r="L248" s="17" t="str">
        <f>IF(OR(TEXT(L$13,"ddd")="Sun",L$13="",$D248=""),"",IF('Leave Planner'!J249="",1,0))</f>
        <v/>
      </c>
      <c r="M248" s="17" t="str">
        <f>IF(OR(TEXT(M$13,"ddd")="Sun",M$13="",$D248=""),"",IF('Leave Planner'!K249="",1,0))</f>
        <v/>
      </c>
      <c r="N248" s="17" t="str">
        <f>IF(OR(TEXT(N$13,"ddd")="Sun",N$13="",$D248=""),"",IF('Leave Planner'!L249="",1,0))</f>
        <v/>
      </c>
      <c r="O248" s="17" t="str">
        <f>IF(OR(TEXT(O$13,"ddd")="Sun",O$13="",$D248=""),"",IF('Leave Planner'!M249="",1,0))</f>
        <v/>
      </c>
      <c r="P248" s="17" t="str">
        <f>IF(OR(TEXT(P$13,"ddd")="Sun",P$13="",$D248=""),"",IF('Leave Planner'!N249="",1,0))</f>
        <v/>
      </c>
      <c r="Q248" s="17" t="str">
        <f>IF(OR(TEXT(Q$13,"ddd")="Sun",Q$13="",$D248=""),"",IF('Leave Planner'!O249="",1,0))</f>
        <v/>
      </c>
      <c r="R248" s="17" t="str">
        <f>IF(OR(TEXT(R$13,"ddd")="Sun",R$13="",$D248=""),"",IF('Leave Planner'!P249="",1,0))</f>
        <v/>
      </c>
      <c r="S248" s="17" t="str">
        <f>IF(OR(TEXT(S$13,"ddd")="Sun",S$13="",$D248=""),"",IF('Leave Planner'!Q249="",1,0))</f>
        <v/>
      </c>
      <c r="T248" s="17" t="str">
        <f>IF(OR(TEXT(T$13,"ddd")="Sun",T$13="",$D248=""),"",IF('Leave Planner'!R249="",1,0))</f>
        <v/>
      </c>
      <c r="U248" s="17" t="str">
        <f>IF(OR(TEXT(U$13,"ddd")="Sun",U$13="",$D248=""),"",IF('Leave Planner'!S249="",1,0))</f>
        <v/>
      </c>
      <c r="V248" s="17" t="str">
        <f>IF(OR(TEXT(V$13,"ddd")="Sun",V$13="",$D248=""),"",IF('Leave Planner'!T249="",1,0))</f>
        <v/>
      </c>
      <c r="W248" s="17" t="str">
        <f>IF(OR(TEXT(W$13,"ddd")="Sun",W$13="",$D248=""),"",IF('Leave Planner'!U249="",1,0))</f>
        <v/>
      </c>
      <c r="X248" s="17" t="str">
        <f>IF(OR(TEXT(X$13,"ddd")="Sun",X$13="",$D248=""),"",IF('Leave Planner'!V249="",1,0))</f>
        <v/>
      </c>
      <c r="Y248" s="17" t="str">
        <f>IF(OR(TEXT(Y$13,"ddd")="Sun",Y$13="",$D248=""),"",IF('Leave Planner'!W249="",1,0))</f>
        <v/>
      </c>
      <c r="Z248" s="17" t="str">
        <f>IF(OR(TEXT(Z$13,"ddd")="Sun",Z$13="",$D248=""),"",IF('Leave Planner'!X249="",1,0))</f>
        <v/>
      </c>
      <c r="AA248" s="17" t="str">
        <f>IF(OR(TEXT(AA$13,"ddd")="Sun",AA$13="",$D248=""),"",IF('Leave Planner'!Y249="",1,0))</f>
        <v/>
      </c>
      <c r="AB248" s="17" t="str">
        <f>IF(OR(TEXT(AB$13,"ddd")="Sun",AB$13="",$D248=""),"",IF('Leave Planner'!Z249="",1,0))</f>
        <v/>
      </c>
      <c r="AC248" s="17" t="str">
        <f>IF(OR(TEXT(AC$13,"ddd")="Sun",AC$13="",$D248=""),"",IF('Leave Planner'!AA249="",1,0))</f>
        <v/>
      </c>
      <c r="AD248" s="17" t="str">
        <f>IF(OR(TEXT(AD$13,"ddd")="Sun",AD$13="",$D248=""),"",IF('Leave Planner'!AB249="",1,0))</f>
        <v/>
      </c>
      <c r="AE248" s="17" t="str">
        <f>IF(OR(TEXT(AE$13,"ddd")="Sun",AE$13="",$D248=""),"",IF('Leave Planner'!AC249="",1,0))</f>
        <v/>
      </c>
      <c r="AF248" s="17" t="str">
        <f>IF(OR(TEXT(AF$13,"ddd")="Sun",AF$13="",$D248=""),"",IF('Leave Planner'!AD249="",1,0))</f>
        <v/>
      </c>
      <c r="AG248" s="17" t="str">
        <f>IF(OR(TEXT(AG$13,"ddd")="Sun",AG$13="",$D248=""),"",IF('Leave Planner'!AE249="",1,0))</f>
        <v/>
      </c>
      <c r="AH248" s="17" t="str">
        <f>IF(OR(TEXT(AH$13,"ddd")="Sun",AH$13="",$D248=""),"",IF('Leave Planner'!AF249="",1,0))</f>
        <v/>
      </c>
      <c r="AI248" s="17" t="str">
        <f>IF(OR(TEXT(AI$13,"ddd")="Sun",AI$13="",$D248=""),"",IF('Leave Planner'!AG249="",1,0))</f>
        <v/>
      </c>
      <c r="AJ248" s="17" t="str">
        <f>IF(OR(TEXT(AJ$13,"ddd")="Sun",AJ$13="",$D248=""),"",IF('Leave Planner'!AH249="",1,0))</f>
        <v/>
      </c>
    </row>
    <row r="249" spans="2:36" x14ac:dyDescent="0.75">
      <c r="B249" s="15"/>
      <c r="C249" s="22"/>
      <c r="D249" s="22"/>
      <c r="E249" s="42" t="str">
        <f t="shared" si="8"/>
        <v/>
      </c>
      <c r="F249" s="17" t="str">
        <f>IF(OR(TEXT(F$13,"ddd")="Sun",F$13="",$D249=""),"",IF('Leave Planner'!D250="",1,0))</f>
        <v/>
      </c>
      <c r="G249" s="17" t="str">
        <f>IF(OR(TEXT(G$13,"ddd")="Sun",G$13="",$D249=""),"",IF('Leave Planner'!E250="",1,0))</f>
        <v/>
      </c>
      <c r="H249" s="17" t="str">
        <f>IF(OR(TEXT(H$13,"ddd")="Sun",H$13="",$D249=""),"",IF('Leave Planner'!F250="",1,0))</f>
        <v/>
      </c>
      <c r="I249" s="17" t="str">
        <f>IF(OR(TEXT(I$13,"ddd")="Sun",I$13="",$D249=""),"",IF('Leave Planner'!G250="",1,0))</f>
        <v/>
      </c>
      <c r="J249" s="17" t="str">
        <f>IF(OR(TEXT(J$13,"ddd")="Sun",J$13="",$D249=""),"",IF('Leave Planner'!H250="",1,0))</f>
        <v/>
      </c>
      <c r="K249" s="17" t="str">
        <f>IF(OR(TEXT(K$13,"ddd")="Sun",K$13="",$D249=""),"",IF('Leave Planner'!I250="",1,0))</f>
        <v/>
      </c>
      <c r="L249" s="17" t="str">
        <f>IF(OR(TEXT(L$13,"ddd")="Sun",L$13="",$D249=""),"",IF('Leave Planner'!J250="",1,0))</f>
        <v/>
      </c>
      <c r="M249" s="17" t="str">
        <f>IF(OR(TEXT(M$13,"ddd")="Sun",M$13="",$D249=""),"",IF('Leave Planner'!K250="",1,0))</f>
        <v/>
      </c>
      <c r="N249" s="17" t="str">
        <f>IF(OR(TEXT(N$13,"ddd")="Sun",N$13="",$D249=""),"",IF('Leave Planner'!L250="",1,0))</f>
        <v/>
      </c>
      <c r="O249" s="17" t="str">
        <f>IF(OR(TEXT(O$13,"ddd")="Sun",O$13="",$D249=""),"",IF('Leave Planner'!M250="",1,0))</f>
        <v/>
      </c>
      <c r="P249" s="17" t="str">
        <f>IF(OR(TEXT(P$13,"ddd")="Sun",P$13="",$D249=""),"",IF('Leave Planner'!N250="",1,0))</f>
        <v/>
      </c>
      <c r="Q249" s="17" t="str">
        <f>IF(OR(TEXT(Q$13,"ddd")="Sun",Q$13="",$D249=""),"",IF('Leave Planner'!O250="",1,0))</f>
        <v/>
      </c>
      <c r="R249" s="17" t="str">
        <f>IF(OR(TEXT(R$13,"ddd")="Sun",R$13="",$D249=""),"",IF('Leave Planner'!P250="",1,0))</f>
        <v/>
      </c>
      <c r="S249" s="17" t="str">
        <f>IF(OR(TEXT(S$13,"ddd")="Sun",S$13="",$D249=""),"",IF('Leave Planner'!Q250="",1,0))</f>
        <v/>
      </c>
      <c r="T249" s="17" t="str">
        <f>IF(OR(TEXT(T$13,"ddd")="Sun",T$13="",$D249=""),"",IF('Leave Planner'!R250="",1,0))</f>
        <v/>
      </c>
      <c r="U249" s="17" t="str">
        <f>IF(OR(TEXT(U$13,"ddd")="Sun",U$13="",$D249=""),"",IF('Leave Planner'!S250="",1,0))</f>
        <v/>
      </c>
      <c r="V249" s="17" t="str">
        <f>IF(OR(TEXT(V$13,"ddd")="Sun",V$13="",$D249=""),"",IF('Leave Planner'!T250="",1,0))</f>
        <v/>
      </c>
      <c r="W249" s="17" t="str">
        <f>IF(OR(TEXT(W$13,"ddd")="Sun",W$13="",$D249=""),"",IF('Leave Planner'!U250="",1,0))</f>
        <v/>
      </c>
      <c r="X249" s="17" t="str">
        <f>IF(OR(TEXT(X$13,"ddd")="Sun",X$13="",$D249=""),"",IF('Leave Planner'!V250="",1,0))</f>
        <v/>
      </c>
      <c r="Y249" s="17" t="str">
        <f>IF(OR(TEXT(Y$13,"ddd")="Sun",Y$13="",$D249=""),"",IF('Leave Planner'!W250="",1,0))</f>
        <v/>
      </c>
      <c r="Z249" s="17" t="str">
        <f>IF(OR(TEXT(Z$13,"ddd")="Sun",Z$13="",$D249=""),"",IF('Leave Planner'!X250="",1,0))</f>
        <v/>
      </c>
      <c r="AA249" s="17" t="str">
        <f>IF(OR(TEXT(AA$13,"ddd")="Sun",AA$13="",$D249=""),"",IF('Leave Planner'!Y250="",1,0))</f>
        <v/>
      </c>
      <c r="AB249" s="17" t="str">
        <f>IF(OR(TEXT(AB$13,"ddd")="Sun",AB$13="",$D249=""),"",IF('Leave Planner'!Z250="",1,0))</f>
        <v/>
      </c>
      <c r="AC249" s="17" t="str">
        <f>IF(OR(TEXT(AC$13,"ddd")="Sun",AC$13="",$D249=""),"",IF('Leave Planner'!AA250="",1,0))</f>
        <v/>
      </c>
      <c r="AD249" s="17" t="str">
        <f>IF(OR(TEXT(AD$13,"ddd")="Sun",AD$13="",$D249=""),"",IF('Leave Planner'!AB250="",1,0))</f>
        <v/>
      </c>
      <c r="AE249" s="17" t="str">
        <f>IF(OR(TEXT(AE$13,"ddd")="Sun",AE$13="",$D249=""),"",IF('Leave Planner'!AC250="",1,0))</f>
        <v/>
      </c>
      <c r="AF249" s="17" t="str">
        <f>IF(OR(TEXT(AF$13,"ddd")="Sun",AF$13="",$D249=""),"",IF('Leave Planner'!AD250="",1,0))</f>
        <v/>
      </c>
      <c r="AG249" s="17" t="str">
        <f>IF(OR(TEXT(AG$13,"ddd")="Sun",AG$13="",$D249=""),"",IF('Leave Planner'!AE250="",1,0))</f>
        <v/>
      </c>
      <c r="AH249" s="17" t="str">
        <f>IF(OR(TEXT(AH$13,"ddd")="Sun",AH$13="",$D249=""),"",IF('Leave Planner'!AF250="",1,0))</f>
        <v/>
      </c>
      <c r="AI249" s="17" t="str">
        <f>IF(OR(TEXT(AI$13,"ddd")="Sun",AI$13="",$D249=""),"",IF('Leave Planner'!AG250="",1,0))</f>
        <v/>
      </c>
      <c r="AJ249" s="17" t="str">
        <f>IF(OR(TEXT(AJ$13,"ddd")="Sun",AJ$13="",$D249=""),"",IF('Leave Planner'!AH250="",1,0))</f>
        <v/>
      </c>
    </row>
    <row r="250" spans="2:36" x14ac:dyDescent="0.75">
      <c r="B250" s="15"/>
      <c r="C250" s="22"/>
      <c r="D250" s="22"/>
      <c r="E250" s="42" t="str">
        <f t="shared" si="8"/>
        <v/>
      </c>
      <c r="F250" s="17" t="str">
        <f>IF(OR(TEXT(F$13,"ddd")="Sun",F$13="",$D250=""),"",IF('Leave Planner'!D251="",1,0))</f>
        <v/>
      </c>
      <c r="G250" s="17" t="str">
        <f>IF(OR(TEXT(G$13,"ddd")="Sun",G$13="",$D250=""),"",IF('Leave Planner'!E251="",1,0))</f>
        <v/>
      </c>
      <c r="H250" s="17" t="str">
        <f>IF(OR(TEXT(H$13,"ddd")="Sun",H$13="",$D250=""),"",IF('Leave Planner'!F251="",1,0))</f>
        <v/>
      </c>
      <c r="I250" s="17" t="str">
        <f>IF(OR(TEXT(I$13,"ddd")="Sun",I$13="",$D250=""),"",IF('Leave Planner'!G251="",1,0))</f>
        <v/>
      </c>
      <c r="J250" s="17" t="str">
        <f>IF(OR(TEXT(J$13,"ddd")="Sun",J$13="",$D250=""),"",IF('Leave Planner'!H251="",1,0))</f>
        <v/>
      </c>
      <c r="K250" s="17" t="str">
        <f>IF(OR(TEXT(K$13,"ddd")="Sun",K$13="",$D250=""),"",IF('Leave Planner'!I251="",1,0))</f>
        <v/>
      </c>
      <c r="L250" s="17" t="str">
        <f>IF(OR(TEXT(L$13,"ddd")="Sun",L$13="",$D250=""),"",IF('Leave Planner'!J251="",1,0))</f>
        <v/>
      </c>
      <c r="M250" s="17" t="str">
        <f>IF(OR(TEXT(M$13,"ddd")="Sun",M$13="",$D250=""),"",IF('Leave Planner'!K251="",1,0))</f>
        <v/>
      </c>
      <c r="N250" s="17" t="str">
        <f>IF(OR(TEXT(N$13,"ddd")="Sun",N$13="",$D250=""),"",IF('Leave Planner'!L251="",1,0))</f>
        <v/>
      </c>
      <c r="O250" s="17" t="str">
        <f>IF(OR(TEXT(O$13,"ddd")="Sun",O$13="",$D250=""),"",IF('Leave Planner'!M251="",1,0))</f>
        <v/>
      </c>
      <c r="P250" s="17" t="str">
        <f>IF(OR(TEXT(P$13,"ddd")="Sun",P$13="",$D250=""),"",IF('Leave Planner'!N251="",1,0))</f>
        <v/>
      </c>
      <c r="Q250" s="17" t="str">
        <f>IF(OR(TEXT(Q$13,"ddd")="Sun",Q$13="",$D250=""),"",IF('Leave Planner'!O251="",1,0))</f>
        <v/>
      </c>
      <c r="R250" s="17" t="str">
        <f>IF(OR(TEXT(R$13,"ddd")="Sun",R$13="",$D250=""),"",IF('Leave Planner'!P251="",1,0))</f>
        <v/>
      </c>
      <c r="S250" s="17" t="str">
        <f>IF(OR(TEXT(S$13,"ddd")="Sun",S$13="",$D250=""),"",IF('Leave Planner'!Q251="",1,0))</f>
        <v/>
      </c>
      <c r="T250" s="17" t="str">
        <f>IF(OR(TEXT(T$13,"ddd")="Sun",T$13="",$D250=""),"",IF('Leave Planner'!R251="",1,0))</f>
        <v/>
      </c>
      <c r="U250" s="17" t="str">
        <f>IF(OR(TEXT(U$13,"ddd")="Sun",U$13="",$D250=""),"",IF('Leave Planner'!S251="",1,0))</f>
        <v/>
      </c>
      <c r="V250" s="17" t="str">
        <f>IF(OR(TEXT(V$13,"ddd")="Sun",V$13="",$D250=""),"",IF('Leave Planner'!T251="",1,0))</f>
        <v/>
      </c>
      <c r="W250" s="17" t="str">
        <f>IF(OR(TEXT(W$13,"ddd")="Sun",W$13="",$D250=""),"",IF('Leave Planner'!U251="",1,0))</f>
        <v/>
      </c>
      <c r="X250" s="17" t="str">
        <f>IF(OR(TEXT(X$13,"ddd")="Sun",X$13="",$D250=""),"",IF('Leave Planner'!V251="",1,0))</f>
        <v/>
      </c>
      <c r="Y250" s="17" t="str">
        <f>IF(OR(TEXT(Y$13,"ddd")="Sun",Y$13="",$D250=""),"",IF('Leave Planner'!W251="",1,0))</f>
        <v/>
      </c>
      <c r="Z250" s="17" t="str">
        <f>IF(OR(TEXT(Z$13,"ddd")="Sun",Z$13="",$D250=""),"",IF('Leave Planner'!X251="",1,0))</f>
        <v/>
      </c>
      <c r="AA250" s="17" t="str">
        <f>IF(OR(TEXT(AA$13,"ddd")="Sun",AA$13="",$D250=""),"",IF('Leave Planner'!Y251="",1,0))</f>
        <v/>
      </c>
      <c r="AB250" s="17" t="str">
        <f>IF(OR(TEXT(AB$13,"ddd")="Sun",AB$13="",$D250=""),"",IF('Leave Planner'!Z251="",1,0))</f>
        <v/>
      </c>
      <c r="AC250" s="17" t="str">
        <f>IF(OR(TEXT(AC$13,"ddd")="Sun",AC$13="",$D250=""),"",IF('Leave Planner'!AA251="",1,0))</f>
        <v/>
      </c>
      <c r="AD250" s="17" t="str">
        <f>IF(OR(TEXT(AD$13,"ddd")="Sun",AD$13="",$D250=""),"",IF('Leave Planner'!AB251="",1,0))</f>
        <v/>
      </c>
      <c r="AE250" s="17" t="str">
        <f>IF(OR(TEXT(AE$13,"ddd")="Sun",AE$13="",$D250=""),"",IF('Leave Planner'!AC251="",1,0))</f>
        <v/>
      </c>
      <c r="AF250" s="17" t="str">
        <f>IF(OR(TEXT(AF$13,"ddd")="Sun",AF$13="",$D250=""),"",IF('Leave Planner'!AD251="",1,0))</f>
        <v/>
      </c>
      <c r="AG250" s="17" t="str">
        <f>IF(OR(TEXT(AG$13,"ddd")="Sun",AG$13="",$D250=""),"",IF('Leave Planner'!AE251="",1,0))</f>
        <v/>
      </c>
      <c r="AH250" s="17" t="str">
        <f>IF(OR(TEXT(AH$13,"ddd")="Sun",AH$13="",$D250=""),"",IF('Leave Planner'!AF251="",1,0))</f>
        <v/>
      </c>
      <c r="AI250" s="17" t="str">
        <f>IF(OR(TEXT(AI$13,"ddd")="Sun",AI$13="",$D250=""),"",IF('Leave Planner'!AG251="",1,0))</f>
        <v/>
      </c>
      <c r="AJ250" s="17" t="str">
        <f>IF(OR(TEXT(AJ$13,"ddd")="Sun",AJ$13="",$D250=""),"",IF('Leave Planner'!AH251="",1,0))</f>
        <v/>
      </c>
    </row>
    <row r="251" spans="2:36" x14ac:dyDescent="0.75">
      <c r="B251" s="15"/>
      <c r="C251" s="22"/>
      <c r="D251" s="22"/>
      <c r="E251" s="42" t="str">
        <f t="shared" si="8"/>
        <v/>
      </c>
      <c r="F251" s="17" t="str">
        <f>IF(OR(TEXT(F$13,"ddd")="Sun",F$13="",$D251=""),"",IF('Leave Planner'!D252="",1,0))</f>
        <v/>
      </c>
      <c r="G251" s="17" t="str">
        <f>IF(OR(TEXT(G$13,"ddd")="Sun",G$13="",$D251=""),"",IF('Leave Planner'!E252="",1,0))</f>
        <v/>
      </c>
      <c r="H251" s="17" t="str">
        <f>IF(OR(TEXT(H$13,"ddd")="Sun",H$13="",$D251=""),"",IF('Leave Planner'!F252="",1,0))</f>
        <v/>
      </c>
      <c r="I251" s="17" t="str">
        <f>IF(OR(TEXT(I$13,"ddd")="Sun",I$13="",$D251=""),"",IF('Leave Planner'!G252="",1,0))</f>
        <v/>
      </c>
      <c r="J251" s="17" t="str">
        <f>IF(OR(TEXT(J$13,"ddd")="Sun",J$13="",$D251=""),"",IF('Leave Planner'!H252="",1,0))</f>
        <v/>
      </c>
      <c r="K251" s="17" t="str">
        <f>IF(OR(TEXT(K$13,"ddd")="Sun",K$13="",$D251=""),"",IF('Leave Planner'!I252="",1,0))</f>
        <v/>
      </c>
      <c r="L251" s="17" t="str">
        <f>IF(OR(TEXT(L$13,"ddd")="Sun",L$13="",$D251=""),"",IF('Leave Planner'!J252="",1,0))</f>
        <v/>
      </c>
      <c r="M251" s="17" t="str">
        <f>IF(OR(TEXT(M$13,"ddd")="Sun",M$13="",$D251=""),"",IF('Leave Planner'!K252="",1,0))</f>
        <v/>
      </c>
      <c r="N251" s="17" t="str">
        <f>IF(OR(TEXT(N$13,"ddd")="Sun",N$13="",$D251=""),"",IF('Leave Planner'!L252="",1,0))</f>
        <v/>
      </c>
      <c r="O251" s="17" t="str">
        <f>IF(OR(TEXT(O$13,"ddd")="Sun",O$13="",$D251=""),"",IF('Leave Planner'!M252="",1,0))</f>
        <v/>
      </c>
      <c r="P251" s="17" t="str">
        <f>IF(OR(TEXT(P$13,"ddd")="Sun",P$13="",$D251=""),"",IF('Leave Planner'!N252="",1,0))</f>
        <v/>
      </c>
      <c r="Q251" s="17" t="str">
        <f>IF(OR(TEXT(Q$13,"ddd")="Sun",Q$13="",$D251=""),"",IF('Leave Planner'!O252="",1,0))</f>
        <v/>
      </c>
      <c r="R251" s="17" t="str">
        <f>IF(OR(TEXT(R$13,"ddd")="Sun",R$13="",$D251=""),"",IF('Leave Planner'!P252="",1,0))</f>
        <v/>
      </c>
      <c r="S251" s="17" t="str">
        <f>IF(OR(TEXT(S$13,"ddd")="Sun",S$13="",$D251=""),"",IF('Leave Planner'!Q252="",1,0))</f>
        <v/>
      </c>
      <c r="T251" s="17" t="str">
        <f>IF(OR(TEXT(T$13,"ddd")="Sun",T$13="",$D251=""),"",IF('Leave Planner'!R252="",1,0))</f>
        <v/>
      </c>
      <c r="U251" s="17" t="str">
        <f>IF(OR(TEXT(U$13,"ddd")="Sun",U$13="",$D251=""),"",IF('Leave Planner'!S252="",1,0))</f>
        <v/>
      </c>
      <c r="V251" s="17" t="str">
        <f>IF(OR(TEXT(V$13,"ddd")="Sun",V$13="",$D251=""),"",IF('Leave Planner'!T252="",1,0))</f>
        <v/>
      </c>
      <c r="W251" s="17" t="str">
        <f>IF(OR(TEXT(W$13,"ddd")="Sun",W$13="",$D251=""),"",IF('Leave Planner'!U252="",1,0))</f>
        <v/>
      </c>
      <c r="X251" s="17" t="str">
        <f>IF(OR(TEXT(X$13,"ddd")="Sun",X$13="",$D251=""),"",IF('Leave Planner'!V252="",1,0))</f>
        <v/>
      </c>
      <c r="Y251" s="17" t="str">
        <f>IF(OR(TEXT(Y$13,"ddd")="Sun",Y$13="",$D251=""),"",IF('Leave Planner'!W252="",1,0))</f>
        <v/>
      </c>
      <c r="Z251" s="17" t="str">
        <f>IF(OR(TEXT(Z$13,"ddd")="Sun",Z$13="",$D251=""),"",IF('Leave Planner'!X252="",1,0))</f>
        <v/>
      </c>
      <c r="AA251" s="17" t="str">
        <f>IF(OR(TEXT(AA$13,"ddd")="Sun",AA$13="",$D251=""),"",IF('Leave Planner'!Y252="",1,0))</f>
        <v/>
      </c>
      <c r="AB251" s="17" t="str">
        <f>IF(OR(TEXT(AB$13,"ddd")="Sun",AB$13="",$D251=""),"",IF('Leave Planner'!Z252="",1,0))</f>
        <v/>
      </c>
      <c r="AC251" s="17" t="str">
        <f>IF(OR(TEXT(AC$13,"ddd")="Sun",AC$13="",$D251=""),"",IF('Leave Planner'!AA252="",1,0))</f>
        <v/>
      </c>
      <c r="AD251" s="17" t="str">
        <f>IF(OR(TEXT(AD$13,"ddd")="Sun",AD$13="",$D251=""),"",IF('Leave Planner'!AB252="",1,0))</f>
        <v/>
      </c>
      <c r="AE251" s="17" t="str">
        <f>IF(OR(TEXT(AE$13,"ddd")="Sun",AE$13="",$D251=""),"",IF('Leave Planner'!AC252="",1,0))</f>
        <v/>
      </c>
      <c r="AF251" s="17" t="str">
        <f>IF(OR(TEXT(AF$13,"ddd")="Sun",AF$13="",$D251=""),"",IF('Leave Planner'!AD252="",1,0))</f>
        <v/>
      </c>
      <c r="AG251" s="17" t="str">
        <f>IF(OR(TEXT(AG$13,"ddd")="Sun",AG$13="",$D251=""),"",IF('Leave Planner'!AE252="",1,0))</f>
        <v/>
      </c>
      <c r="AH251" s="17" t="str">
        <f>IF(OR(TEXT(AH$13,"ddd")="Sun",AH$13="",$D251=""),"",IF('Leave Planner'!AF252="",1,0))</f>
        <v/>
      </c>
      <c r="AI251" s="17" t="str">
        <f>IF(OR(TEXT(AI$13,"ddd")="Sun",AI$13="",$D251=""),"",IF('Leave Planner'!AG252="",1,0))</f>
        <v/>
      </c>
      <c r="AJ251" s="17" t="str">
        <f>IF(OR(TEXT(AJ$13,"ddd")="Sun",AJ$13="",$D251=""),"",IF('Leave Planner'!AH252="",1,0))</f>
        <v/>
      </c>
    </row>
    <row r="252" spans="2:36" x14ac:dyDescent="0.75">
      <c r="B252" s="15"/>
      <c r="C252" s="22"/>
      <c r="D252" s="22"/>
      <c r="E252" s="42" t="str">
        <f t="shared" si="8"/>
        <v/>
      </c>
      <c r="F252" s="17" t="str">
        <f>IF(OR(TEXT(F$13,"ddd")="Sun",F$13="",$D252=""),"",IF('Leave Planner'!D253="",1,0))</f>
        <v/>
      </c>
      <c r="G252" s="17" t="str">
        <f>IF(OR(TEXT(G$13,"ddd")="Sun",G$13="",$D252=""),"",IF('Leave Planner'!E253="",1,0))</f>
        <v/>
      </c>
      <c r="H252" s="17" t="str">
        <f>IF(OR(TEXT(H$13,"ddd")="Sun",H$13="",$D252=""),"",IF('Leave Planner'!F253="",1,0))</f>
        <v/>
      </c>
      <c r="I252" s="17" t="str">
        <f>IF(OR(TEXT(I$13,"ddd")="Sun",I$13="",$D252=""),"",IF('Leave Planner'!G253="",1,0))</f>
        <v/>
      </c>
      <c r="J252" s="17" t="str">
        <f>IF(OR(TEXT(J$13,"ddd")="Sun",J$13="",$D252=""),"",IF('Leave Planner'!H253="",1,0))</f>
        <v/>
      </c>
      <c r="K252" s="17" t="str">
        <f>IF(OR(TEXT(K$13,"ddd")="Sun",K$13="",$D252=""),"",IF('Leave Planner'!I253="",1,0))</f>
        <v/>
      </c>
      <c r="L252" s="17" t="str">
        <f>IF(OR(TEXT(L$13,"ddd")="Sun",L$13="",$D252=""),"",IF('Leave Planner'!J253="",1,0))</f>
        <v/>
      </c>
      <c r="M252" s="17" t="str">
        <f>IF(OR(TEXT(M$13,"ddd")="Sun",M$13="",$D252=""),"",IF('Leave Planner'!K253="",1,0))</f>
        <v/>
      </c>
      <c r="N252" s="17" t="str">
        <f>IF(OR(TEXT(N$13,"ddd")="Sun",N$13="",$D252=""),"",IF('Leave Planner'!L253="",1,0))</f>
        <v/>
      </c>
      <c r="O252" s="17" t="str">
        <f>IF(OR(TEXT(O$13,"ddd")="Sun",O$13="",$D252=""),"",IF('Leave Planner'!M253="",1,0))</f>
        <v/>
      </c>
      <c r="P252" s="17" t="str">
        <f>IF(OR(TEXT(P$13,"ddd")="Sun",P$13="",$D252=""),"",IF('Leave Planner'!N253="",1,0))</f>
        <v/>
      </c>
      <c r="Q252" s="17" t="str">
        <f>IF(OR(TEXT(Q$13,"ddd")="Sun",Q$13="",$D252=""),"",IF('Leave Planner'!O253="",1,0))</f>
        <v/>
      </c>
      <c r="R252" s="17" t="str">
        <f>IF(OR(TEXT(R$13,"ddd")="Sun",R$13="",$D252=""),"",IF('Leave Planner'!P253="",1,0))</f>
        <v/>
      </c>
      <c r="S252" s="17" t="str">
        <f>IF(OR(TEXT(S$13,"ddd")="Sun",S$13="",$D252=""),"",IF('Leave Planner'!Q253="",1,0))</f>
        <v/>
      </c>
      <c r="T252" s="17" t="str">
        <f>IF(OR(TEXT(T$13,"ddd")="Sun",T$13="",$D252=""),"",IF('Leave Planner'!R253="",1,0))</f>
        <v/>
      </c>
      <c r="U252" s="17" t="str">
        <f>IF(OR(TEXT(U$13,"ddd")="Sun",U$13="",$D252=""),"",IF('Leave Planner'!S253="",1,0))</f>
        <v/>
      </c>
      <c r="V252" s="17" t="str">
        <f>IF(OR(TEXT(V$13,"ddd")="Sun",V$13="",$D252=""),"",IF('Leave Planner'!T253="",1,0))</f>
        <v/>
      </c>
      <c r="W252" s="17" t="str">
        <f>IF(OR(TEXT(W$13,"ddd")="Sun",W$13="",$D252=""),"",IF('Leave Planner'!U253="",1,0))</f>
        <v/>
      </c>
      <c r="X252" s="17" t="str">
        <f>IF(OR(TEXT(X$13,"ddd")="Sun",X$13="",$D252=""),"",IF('Leave Planner'!V253="",1,0))</f>
        <v/>
      </c>
      <c r="Y252" s="17" t="str">
        <f>IF(OR(TEXT(Y$13,"ddd")="Sun",Y$13="",$D252=""),"",IF('Leave Planner'!W253="",1,0))</f>
        <v/>
      </c>
      <c r="Z252" s="17" t="str">
        <f>IF(OR(TEXT(Z$13,"ddd")="Sun",Z$13="",$D252=""),"",IF('Leave Planner'!X253="",1,0))</f>
        <v/>
      </c>
      <c r="AA252" s="17" t="str">
        <f>IF(OR(TEXT(AA$13,"ddd")="Sun",AA$13="",$D252=""),"",IF('Leave Planner'!Y253="",1,0))</f>
        <v/>
      </c>
      <c r="AB252" s="17" t="str">
        <f>IF(OR(TEXT(AB$13,"ddd")="Sun",AB$13="",$D252=""),"",IF('Leave Planner'!Z253="",1,0))</f>
        <v/>
      </c>
      <c r="AC252" s="17" t="str">
        <f>IF(OR(TEXT(AC$13,"ddd")="Sun",AC$13="",$D252=""),"",IF('Leave Planner'!AA253="",1,0))</f>
        <v/>
      </c>
      <c r="AD252" s="17" t="str">
        <f>IF(OR(TEXT(AD$13,"ddd")="Sun",AD$13="",$D252=""),"",IF('Leave Planner'!AB253="",1,0))</f>
        <v/>
      </c>
      <c r="AE252" s="17" t="str">
        <f>IF(OR(TEXT(AE$13,"ddd")="Sun",AE$13="",$D252=""),"",IF('Leave Planner'!AC253="",1,0))</f>
        <v/>
      </c>
      <c r="AF252" s="17" t="str">
        <f>IF(OR(TEXT(AF$13,"ddd")="Sun",AF$13="",$D252=""),"",IF('Leave Planner'!AD253="",1,0))</f>
        <v/>
      </c>
      <c r="AG252" s="17" t="str">
        <f>IF(OR(TEXT(AG$13,"ddd")="Sun",AG$13="",$D252=""),"",IF('Leave Planner'!AE253="",1,0))</f>
        <v/>
      </c>
      <c r="AH252" s="17" t="str">
        <f>IF(OR(TEXT(AH$13,"ddd")="Sun",AH$13="",$D252=""),"",IF('Leave Planner'!AF253="",1,0))</f>
        <v/>
      </c>
      <c r="AI252" s="17" t="str">
        <f>IF(OR(TEXT(AI$13,"ddd")="Sun",AI$13="",$D252=""),"",IF('Leave Planner'!AG253="",1,0))</f>
        <v/>
      </c>
      <c r="AJ252" s="17" t="str">
        <f>IF(OR(TEXT(AJ$13,"ddd")="Sun",AJ$13="",$D252=""),"",IF('Leave Planner'!AH253="",1,0))</f>
        <v/>
      </c>
    </row>
    <row r="253" spans="2:36" x14ac:dyDescent="0.75">
      <c r="B253" s="15"/>
      <c r="C253" s="22"/>
      <c r="D253" s="22"/>
      <c r="E253" s="42" t="str">
        <f t="shared" si="8"/>
        <v/>
      </c>
      <c r="F253" s="17" t="str">
        <f>IF(OR(TEXT(F$13,"ddd")="Sun",F$13="",$D253=""),"",IF('Leave Planner'!D254="",1,0))</f>
        <v/>
      </c>
      <c r="G253" s="17" t="str">
        <f>IF(OR(TEXT(G$13,"ddd")="Sun",G$13="",$D253=""),"",IF('Leave Planner'!E254="",1,0))</f>
        <v/>
      </c>
      <c r="H253" s="17" t="str">
        <f>IF(OR(TEXT(H$13,"ddd")="Sun",H$13="",$D253=""),"",IF('Leave Planner'!F254="",1,0))</f>
        <v/>
      </c>
      <c r="I253" s="17" t="str">
        <f>IF(OR(TEXT(I$13,"ddd")="Sun",I$13="",$D253=""),"",IF('Leave Planner'!G254="",1,0))</f>
        <v/>
      </c>
      <c r="J253" s="17" t="str">
        <f>IF(OR(TEXT(J$13,"ddd")="Sun",J$13="",$D253=""),"",IF('Leave Planner'!H254="",1,0))</f>
        <v/>
      </c>
      <c r="K253" s="17" t="str">
        <f>IF(OR(TEXT(K$13,"ddd")="Sun",K$13="",$D253=""),"",IF('Leave Planner'!I254="",1,0))</f>
        <v/>
      </c>
      <c r="L253" s="17" t="str">
        <f>IF(OR(TEXT(L$13,"ddd")="Sun",L$13="",$D253=""),"",IF('Leave Planner'!J254="",1,0))</f>
        <v/>
      </c>
      <c r="M253" s="17" t="str">
        <f>IF(OR(TEXT(M$13,"ddd")="Sun",M$13="",$D253=""),"",IF('Leave Planner'!K254="",1,0))</f>
        <v/>
      </c>
      <c r="N253" s="17" t="str">
        <f>IF(OR(TEXT(N$13,"ddd")="Sun",N$13="",$D253=""),"",IF('Leave Planner'!L254="",1,0))</f>
        <v/>
      </c>
      <c r="O253" s="17" t="str">
        <f>IF(OR(TEXT(O$13,"ddd")="Sun",O$13="",$D253=""),"",IF('Leave Planner'!M254="",1,0))</f>
        <v/>
      </c>
      <c r="P253" s="17" t="str">
        <f>IF(OR(TEXT(P$13,"ddd")="Sun",P$13="",$D253=""),"",IF('Leave Planner'!N254="",1,0))</f>
        <v/>
      </c>
      <c r="Q253" s="17" t="str">
        <f>IF(OR(TEXT(Q$13,"ddd")="Sun",Q$13="",$D253=""),"",IF('Leave Planner'!O254="",1,0))</f>
        <v/>
      </c>
      <c r="R253" s="17" t="str">
        <f>IF(OR(TEXT(R$13,"ddd")="Sun",R$13="",$D253=""),"",IF('Leave Planner'!P254="",1,0))</f>
        <v/>
      </c>
      <c r="S253" s="17" t="str">
        <f>IF(OR(TEXT(S$13,"ddd")="Sun",S$13="",$D253=""),"",IF('Leave Planner'!Q254="",1,0))</f>
        <v/>
      </c>
      <c r="T253" s="17" t="str">
        <f>IF(OR(TEXT(T$13,"ddd")="Sun",T$13="",$D253=""),"",IF('Leave Planner'!R254="",1,0))</f>
        <v/>
      </c>
      <c r="U253" s="17" t="str">
        <f>IF(OR(TEXT(U$13,"ddd")="Sun",U$13="",$D253=""),"",IF('Leave Planner'!S254="",1,0))</f>
        <v/>
      </c>
      <c r="V253" s="17" t="str">
        <f>IF(OR(TEXT(V$13,"ddd")="Sun",V$13="",$D253=""),"",IF('Leave Planner'!T254="",1,0))</f>
        <v/>
      </c>
      <c r="W253" s="17" t="str">
        <f>IF(OR(TEXT(W$13,"ddd")="Sun",W$13="",$D253=""),"",IF('Leave Planner'!U254="",1,0))</f>
        <v/>
      </c>
      <c r="X253" s="17" t="str">
        <f>IF(OR(TEXT(X$13,"ddd")="Sun",X$13="",$D253=""),"",IF('Leave Planner'!V254="",1,0))</f>
        <v/>
      </c>
      <c r="Y253" s="17" t="str">
        <f>IF(OR(TEXT(Y$13,"ddd")="Sun",Y$13="",$D253=""),"",IF('Leave Planner'!W254="",1,0))</f>
        <v/>
      </c>
      <c r="Z253" s="17" t="str">
        <f>IF(OR(TEXT(Z$13,"ddd")="Sun",Z$13="",$D253=""),"",IF('Leave Planner'!X254="",1,0))</f>
        <v/>
      </c>
      <c r="AA253" s="17" t="str">
        <f>IF(OR(TEXT(AA$13,"ddd")="Sun",AA$13="",$D253=""),"",IF('Leave Planner'!Y254="",1,0))</f>
        <v/>
      </c>
      <c r="AB253" s="17" t="str">
        <f>IF(OR(TEXT(AB$13,"ddd")="Sun",AB$13="",$D253=""),"",IF('Leave Planner'!Z254="",1,0))</f>
        <v/>
      </c>
      <c r="AC253" s="17" t="str">
        <f>IF(OR(TEXT(AC$13,"ddd")="Sun",AC$13="",$D253=""),"",IF('Leave Planner'!AA254="",1,0))</f>
        <v/>
      </c>
      <c r="AD253" s="17" t="str">
        <f>IF(OR(TEXT(AD$13,"ddd")="Sun",AD$13="",$D253=""),"",IF('Leave Planner'!AB254="",1,0))</f>
        <v/>
      </c>
      <c r="AE253" s="17" t="str">
        <f>IF(OR(TEXT(AE$13,"ddd")="Sun",AE$13="",$D253=""),"",IF('Leave Planner'!AC254="",1,0))</f>
        <v/>
      </c>
      <c r="AF253" s="17" t="str">
        <f>IF(OR(TEXT(AF$13,"ddd")="Sun",AF$13="",$D253=""),"",IF('Leave Planner'!AD254="",1,0))</f>
        <v/>
      </c>
      <c r="AG253" s="17" t="str">
        <f>IF(OR(TEXT(AG$13,"ddd")="Sun",AG$13="",$D253=""),"",IF('Leave Planner'!AE254="",1,0))</f>
        <v/>
      </c>
      <c r="AH253" s="17" t="str">
        <f>IF(OR(TEXT(AH$13,"ddd")="Sun",AH$13="",$D253=""),"",IF('Leave Planner'!AF254="",1,0))</f>
        <v/>
      </c>
      <c r="AI253" s="17" t="str">
        <f>IF(OR(TEXT(AI$13,"ddd")="Sun",AI$13="",$D253=""),"",IF('Leave Planner'!AG254="",1,0))</f>
        <v/>
      </c>
      <c r="AJ253" s="17" t="str">
        <f>IF(OR(TEXT(AJ$13,"ddd")="Sun",AJ$13="",$D253=""),"",IF('Leave Planner'!AH254="",1,0))</f>
        <v/>
      </c>
    </row>
    <row r="254" spans="2:36" x14ac:dyDescent="0.75">
      <c r="B254" s="15"/>
      <c r="C254" s="22"/>
      <c r="D254" s="22"/>
      <c r="E254" s="42" t="str">
        <f t="shared" si="8"/>
        <v/>
      </c>
      <c r="F254" s="17" t="str">
        <f>IF(OR(TEXT(F$13,"ddd")="Sun",F$13="",$D254=""),"",IF('Leave Planner'!D255="",1,0))</f>
        <v/>
      </c>
      <c r="G254" s="17" t="str">
        <f>IF(OR(TEXT(G$13,"ddd")="Sun",G$13="",$D254=""),"",IF('Leave Planner'!E255="",1,0))</f>
        <v/>
      </c>
      <c r="H254" s="17" t="str">
        <f>IF(OR(TEXT(H$13,"ddd")="Sun",H$13="",$D254=""),"",IF('Leave Planner'!F255="",1,0))</f>
        <v/>
      </c>
      <c r="I254" s="17" t="str">
        <f>IF(OR(TEXT(I$13,"ddd")="Sun",I$13="",$D254=""),"",IF('Leave Planner'!G255="",1,0))</f>
        <v/>
      </c>
      <c r="J254" s="17" t="str">
        <f>IF(OR(TEXT(J$13,"ddd")="Sun",J$13="",$D254=""),"",IF('Leave Planner'!H255="",1,0))</f>
        <v/>
      </c>
      <c r="K254" s="17" t="str">
        <f>IF(OR(TEXT(K$13,"ddd")="Sun",K$13="",$D254=""),"",IF('Leave Planner'!I255="",1,0))</f>
        <v/>
      </c>
      <c r="L254" s="17" t="str">
        <f>IF(OR(TEXT(L$13,"ddd")="Sun",L$13="",$D254=""),"",IF('Leave Planner'!J255="",1,0))</f>
        <v/>
      </c>
      <c r="M254" s="17" t="str">
        <f>IF(OR(TEXT(M$13,"ddd")="Sun",M$13="",$D254=""),"",IF('Leave Planner'!K255="",1,0))</f>
        <v/>
      </c>
      <c r="N254" s="17" t="str">
        <f>IF(OR(TEXT(N$13,"ddd")="Sun",N$13="",$D254=""),"",IF('Leave Planner'!L255="",1,0))</f>
        <v/>
      </c>
      <c r="O254" s="17" t="str">
        <f>IF(OR(TEXT(O$13,"ddd")="Sun",O$13="",$D254=""),"",IF('Leave Planner'!M255="",1,0))</f>
        <v/>
      </c>
      <c r="P254" s="17" t="str">
        <f>IF(OR(TEXT(P$13,"ddd")="Sun",P$13="",$D254=""),"",IF('Leave Planner'!N255="",1,0))</f>
        <v/>
      </c>
      <c r="Q254" s="17" t="str">
        <f>IF(OR(TEXT(Q$13,"ddd")="Sun",Q$13="",$D254=""),"",IF('Leave Planner'!O255="",1,0))</f>
        <v/>
      </c>
      <c r="R254" s="17" t="str">
        <f>IF(OR(TEXT(R$13,"ddd")="Sun",R$13="",$D254=""),"",IF('Leave Planner'!P255="",1,0))</f>
        <v/>
      </c>
      <c r="S254" s="17" t="str">
        <f>IF(OR(TEXT(S$13,"ddd")="Sun",S$13="",$D254=""),"",IF('Leave Planner'!Q255="",1,0))</f>
        <v/>
      </c>
      <c r="T254" s="17" t="str">
        <f>IF(OR(TEXT(T$13,"ddd")="Sun",T$13="",$D254=""),"",IF('Leave Planner'!R255="",1,0))</f>
        <v/>
      </c>
      <c r="U254" s="17" t="str">
        <f>IF(OR(TEXT(U$13,"ddd")="Sun",U$13="",$D254=""),"",IF('Leave Planner'!S255="",1,0))</f>
        <v/>
      </c>
      <c r="V254" s="17" t="str">
        <f>IF(OR(TEXT(V$13,"ddd")="Sun",V$13="",$D254=""),"",IF('Leave Planner'!T255="",1,0))</f>
        <v/>
      </c>
      <c r="W254" s="17" t="str">
        <f>IF(OR(TEXT(W$13,"ddd")="Sun",W$13="",$D254=""),"",IF('Leave Planner'!U255="",1,0))</f>
        <v/>
      </c>
      <c r="X254" s="17" t="str">
        <f>IF(OR(TEXT(X$13,"ddd")="Sun",X$13="",$D254=""),"",IF('Leave Planner'!V255="",1,0))</f>
        <v/>
      </c>
      <c r="Y254" s="17" t="str">
        <f>IF(OR(TEXT(Y$13,"ddd")="Sun",Y$13="",$D254=""),"",IF('Leave Planner'!W255="",1,0))</f>
        <v/>
      </c>
      <c r="Z254" s="17" t="str">
        <f>IF(OR(TEXT(Z$13,"ddd")="Sun",Z$13="",$D254=""),"",IF('Leave Planner'!X255="",1,0))</f>
        <v/>
      </c>
      <c r="AA254" s="17" t="str">
        <f>IF(OR(TEXT(AA$13,"ddd")="Sun",AA$13="",$D254=""),"",IF('Leave Planner'!Y255="",1,0))</f>
        <v/>
      </c>
      <c r="AB254" s="17" t="str">
        <f>IF(OR(TEXT(AB$13,"ddd")="Sun",AB$13="",$D254=""),"",IF('Leave Planner'!Z255="",1,0))</f>
        <v/>
      </c>
      <c r="AC254" s="17" t="str">
        <f>IF(OR(TEXT(AC$13,"ddd")="Sun",AC$13="",$D254=""),"",IF('Leave Planner'!AA255="",1,0))</f>
        <v/>
      </c>
      <c r="AD254" s="17" t="str">
        <f>IF(OR(TEXT(AD$13,"ddd")="Sun",AD$13="",$D254=""),"",IF('Leave Planner'!AB255="",1,0))</f>
        <v/>
      </c>
      <c r="AE254" s="17" t="str">
        <f>IF(OR(TEXT(AE$13,"ddd")="Sun",AE$13="",$D254=""),"",IF('Leave Planner'!AC255="",1,0))</f>
        <v/>
      </c>
      <c r="AF254" s="17" t="str">
        <f>IF(OR(TEXT(AF$13,"ddd")="Sun",AF$13="",$D254=""),"",IF('Leave Planner'!AD255="",1,0))</f>
        <v/>
      </c>
      <c r="AG254" s="17" t="str">
        <f>IF(OR(TEXT(AG$13,"ddd")="Sun",AG$13="",$D254=""),"",IF('Leave Planner'!AE255="",1,0))</f>
        <v/>
      </c>
      <c r="AH254" s="17" t="str">
        <f>IF(OR(TEXT(AH$13,"ddd")="Sun",AH$13="",$D254=""),"",IF('Leave Planner'!AF255="",1,0))</f>
        <v/>
      </c>
      <c r="AI254" s="17" t="str">
        <f>IF(OR(TEXT(AI$13,"ddd")="Sun",AI$13="",$D254=""),"",IF('Leave Planner'!AG255="",1,0))</f>
        <v/>
      </c>
      <c r="AJ254" s="17" t="str">
        <f>IF(OR(TEXT(AJ$13,"ddd")="Sun",AJ$13="",$D254=""),"",IF('Leave Planner'!AH255="",1,0))</f>
        <v/>
      </c>
    </row>
    <row r="255" spans="2:36" x14ac:dyDescent="0.75">
      <c r="B255" s="15"/>
      <c r="C255" s="22"/>
      <c r="D255" s="22"/>
      <c r="E255" s="42" t="str">
        <f t="shared" si="8"/>
        <v/>
      </c>
      <c r="F255" s="17" t="str">
        <f>IF(OR(TEXT(F$13,"ddd")="Sun",F$13="",$D255=""),"",IF('Leave Planner'!D256="",1,0))</f>
        <v/>
      </c>
      <c r="G255" s="17" t="str">
        <f>IF(OR(TEXT(G$13,"ddd")="Sun",G$13="",$D255=""),"",IF('Leave Planner'!E256="",1,0))</f>
        <v/>
      </c>
      <c r="H255" s="17" t="str">
        <f>IF(OR(TEXT(H$13,"ddd")="Sun",H$13="",$D255=""),"",IF('Leave Planner'!F256="",1,0))</f>
        <v/>
      </c>
      <c r="I255" s="17" t="str">
        <f>IF(OR(TEXT(I$13,"ddd")="Sun",I$13="",$D255=""),"",IF('Leave Planner'!G256="",1,0))</f>
        <v/>
      </c>
      <c r="J255" s="17" t="str">
        <f>IF(OR(TEXT(J$13,"ddd")="Sun",J$13="",$D255=""),"",IF('Leave Planner'!H256="",1,0))</f>
        <v/>
      </c>
      <c r="K255" s="17" t="str">
        <f>IF(OR(TEXT(K$13,"ddd")="Sun",K$13="",$D255=""),"",IF('Leave Planner'!I256="",1,0))</f>
        <v/>
      </c>
      <c r="L255" s="17" t="str">
        <f>IF(OR(TEXT(L$13,"ddd")="Sun",L$13="",$D255=""),"",IF('Leave Planner'!J256="",1,0))</f>
        <v/>
      </c>
      <c r="M255" s="17" t="str">
        <f>IF(OR(TEXT(M$13,"ddd")="Sun",M$13="",$D255=""),"",IF('Leave Planner'!K256="",1,0))</f>
        <v/>
      </c>
      <c r="N255" s="17" t="str">
        <f>IF(OR(TEXT(N$13,"ddd")="Sun",N$13="",$D255=""),"",IF('Leave Planner'!L256="",1,0))</f>
        <v/>
      </c>
      <c r="O255" s="17" t="str">
        <f>IF(OR(TEXT(O$13,"ddd")="Sun",O$13="",$D255=""),"",IF('Leave Planner'!M256="",1,0))</f>
        <v/>
      </c>
      <c r="P255" s="17" t="str">
        <f>IF(OR(TEXT(P$13,"ddd")="Sun",P$13="",$D255=""),"",IF('Leave Planner'!N256="",1,0))</f>
        <v/>
      </c>
      <c r="Q255" s="17" t="str">
        <f>IF(OR(TEXT(Q$13,"ddd")="Sun",Q$13="",$D255=""),"",IF('Leave Planner'!O256="",1,0))</f>
        <v/>
      </c>
      <c r="R255" s="17" t="str">
        <f>IF(OR(TEXT(R$13,"ddd")="Sun",R$13="",$D255=""),"",IF('Leave Planner'!P256="",1,0))</f>
        <v/>
      </c>
      <c r="S255" s="17" t="str">
        <f>IF(OR(TEXT(S$13,"ddd")="Sun",S$13="",$D255=""),"",IF('Leave Planner'!Q256="",1,0))</f>
        <v/>
      </c>
      <c r="T255" s="17" t="str">
        <f>IF(OR(TEXT(T$13,"ddd")="Sun",T$13="",$D255=""),"",IF('Leave Planner'!R256="",1,0))</f>
        <v/>
      </c>
      <c r="U255" s="17" t="str">
        <f>IF(OR(TEXT(U$13,"ddd")="Sun",U$13="",$D255=""),"",IF('Leave Planner'!S256="",1,0))</f>
        <v/>
      </c>
      <c r="V255" s="17" t="str">
        <f>IF(OR(TEXT(V$13,"ddd")="Sun",V$13="",$D255=""),"",IF('Leave Planner'!T256="",1,0))</f>
        <v/>
      </c>
      <c r="W255" s="17" t="str">
        <f>IF(OR(TEXT(W$13,"ddd")="Sun",W$13="",$D255=""),"",IF('Leave Planner'!U256="",1,0))</f>
        <v/>
      </c>
      <c r="X255" s="17" t="str">
        <f>IF(OR(TEXT(X$13,"ddd")="Sun",X$13="",$D255=""),"",IF('Leave Planner'!V256="",1,0))</f>
        <v/>
      </c>
      <c r="Y255" s="17" t="str">
        <f>IF(OR(TEXT(Y$13,"ddd")="Sun",Y$13="",$D255=""),"",IF('Leave Planner'!W256="",1,0))</f>
        <v/>
      </c>
      <c r="Z255" s="17" t="str">
        <f>IF(OR(TEXT(Z$13,"ddd")="Sun",Z$13="",$D255=""),"",IF('Leave Planner'!X256="",1,0))</f>
        <v/>
      </c>
      <c r="AA255" s="17" t="str">
        <f>IF(OR(TEXT(AA$13,"ddd")="Sun",AA$13="",$D255=""),"",IF('Leave Planner'!Y256="",1,0))</f>
        <v/>
      </c>
      <c r="AB255" s="17" t="str">
        <f>IF(OR(TEXT(AB$13,"ddd")="Sun",AB$13="",$D255=""),"",IF('Leave Planner'!Z256="",1,0))</f>
        <v/>
      </c>
      <c r="AC255" s="17" t="str">
        <f>IF(OR(TEXT(AC$13,"ddd")="Sun",AC$13="",$D255=""),"",IF('Leave Planner'!AA256="",1,0))</f>
        <v/>
      </c>
      <c r="AD255" s="17" t="str">
        <f>IF(OR(TEXT(AD$13,"ddd")="Sun",AD$13="",$D255=""),"",IF('Leave Planner'!AB256="",1,0))</f>
        <v/>
      </c>
      <c r="AE255" s="17" t="str">
        <f>IF(OR(TEXT(AE$13,"ddd")="Sun",AE$13="",$D255=""),"",IF('Leave Planner'!AC256="",1,0))</f>
        <v/>
      </c>
      <c r="AF255" s="17" t="str">
        <f>IF(OR(TEXT(AF$13,"ddd")="Sun",AF$13="",$D255=""),"",IF('Leave Planner'!AD256="",1,0))</f>
        <v/>
      </c>
      <c r="AG255" s="17" t="str">
        <f>IF(OR(TEXT(AG$13,"ddd")="Sun",AG$13="",$D255=""),"",IF('Leave Planner'!AE256="",1,0))</f>
        <v/>
      </c>
      <c r="AH255" s="17" t="str">
        <f>IF(OR(TEXT(AH$13,"ddd")="Sun",AH$13="",$D255=""),"",IF('Leave Planner'!AF256="",1,0))</f>
        <v/>
      </c>
      <c r="AI255" s="17" t="str">
        <f>IF(OR(TEXT(AI$13,"ddd")="Sun",AI$13="",$D255=""),"",IF('Leave Planner'!AG256="",1,0))</f>
        <v/>
      </c>
      <c r="AJ255" s="17" t="str">
        <f>IF(OR(TEXT(AJ$13,"ddd")="Sun",AJ$13="",$D255=""),"",IF('Leave Planner'!AH256="",1,0))</f>
        <v/>
      </c>
    </row>
    <row r="256" spans="2:36" x14ac:dyDescent="0.75">
      <c r="B256" s="15"/>
      <c r="C256" s="22"/>
      <c r="D256" s="22"/>
      <c r="E256" s="42" t="str">
        <f t="shared" si="8"/>
        <v/>
      </c>
      <c r="F256" s="17" t="str">
        <f>IF(OR(TEXT(F$13,"ddd")="Sun",F$13="",$D256=""),"",IF('Leave Planner'!D257="",1,0))</f>
        <v/>
      </c>
      <c r="G256" s="17" t="str">
        <f>IF(OR(TEXT(G$13,"ddd")="Sun",G$13="",$D256=""),"",IF('Leave Planner'!E257="",1,0))</f>
        <v/>
      </c>
      <c r="H256" s="17" t="str">
        <f>IF(OR(TEXT(H$13,"ddd")="Sun",H$13="",$D256=""),"",IF('Leave Planner'!F257="",1,0))</f>
        <v/>
      </c>
      <c r="I256" s="17" t="str">
        <f>IF(OR(TEXT(I$13,"ddd")="Sun",I$13="",$D256=""),"",IF('Leave Planner'!G257="",1,0))</f>
        <v/>
      </c>
      <c r="J256" s="17" t="str">
        <f>IF(OR(TEXT(J$13,"ddd")="Sun",J$13="",$D256=""),"",IF('Leave Planner'!H257="",1,0))</f>
        <v/>
      </c>
      <c r="K256" s="17" t="str">
        <f>IF(OR(TEXT(K$13,"ddd")="Sun",K$13="",$D256=""),"",IF('Leave Planner'!I257="",1,0))</f>
        <v/>
      </c>
      <c r="L256" s="17" t="str">
        <f>IF(OR(TEXT(L$13,"ddd")="Sun",L$13="",$D256=""),"",IF('Leave Planner'!J257="",1,0))</f>
        <v/>
      </c>
      <c r="M256" s="17" t="str">
        <f>IF(OR(TEXT(M$13,"ddd")="Sun",M$13="",$D256=""),"",IF('Leave Planner'!K257="",1,0))</f>
        <v/>
      </c>
      <c r="N256" s="17" t="str">
        <f>IF(OR(TEXT(N$13,"ddd")="Sun",N$13="",$D256=""),"",IF('Leave Planner'!L257="",1,0))</f>
        <v/>
      </c>
      <c r="O256" s="17" t="str">
        <f>IF(OR(TEXT(O$13,"ddd")="Sun",O$13="",$D256=""),"",IF('Leave Planner'!M257="",1,0))</f>
        <v/>
      </c>
      <c r="P256" s="17" t="str">
        <f>IF(OR(TEXT(P$13,"ddd")="Sun",P$13="",$D256=""),"",IF('Leave Planner'!N257="",1,0))</f>
        <v/>
      </c>
      <c r="Q256" s="17" t="str">
        <f>IF(OR(TEXT(Q$13,"ddd")="Sun",Q$13="",$D256=""),"",IF('Leave Planner'!O257="",1,0))</f>
        <v/>
      </c>
      <c r="R256" s="17" t="str">
        <f>IF(OR(TEXT(R$13,"ddd")="Sun",R$13="",$D256=""),"",IF('Leave Planner'!P257="",1,0))</f>
        <v/>
      </c>
      <c r="S256" s="17" t="str">
        <f>IF(OR(TEXT(S$13,"ddd")="Sun",S$13="",$D256=""),"",IF('Leave Planner'!Q257="",1,0))</f>
        <v/>
      </c>
      <c r="T256" s="17" t="str">
        <f>IF(OR(TEXT(T$13,"ddd")="Sun",T$13="",$D256=""),"",IF('Leave Planner'!R257="",1,0))</f>
        <v/>
      </c>
      <c r="U256" s="17" t="str">
        <f>IF(OR(TEXT(U$13,"ddd")="Sun",U$13="",$D256=""),"",IF('Leave Planner'!S257="",1,0))</f>
        <v/>
      </c>
      <c r="V256" s="17" t="str">
        <f>IF(OR(TEXT(V$13,"ddd")="Sun",V$13="",$D256=""),"",IF('Leave Planner'!T257="",1,0))</f>
        <v/>
      </c>
      <c r="W256" s="17" t="str">
        <f>IF(OR(TEXT(W$13,"ddd")="Sun",W$13="",$D256=""),"",IF('Leave Planner'!U257="",1,0))</f>
        <v/>
      </c>
      <c r="X256" s="17" t="str">
        <f>IF(OR(TEXT(X$13,"ddd")="Sun",X$13="",$D256=""),"",IF('Leave Planner'!V257="",1,0))</f>
        <v/>
      </c>
      <c r="Y256" s="17" t="str">
        <f>IF(OR(TEXT(Y$13,"ddd")="Sun",Y$13="",$D256=""),"",IF('Leave Planner'!W257="",1,0))</f>
        <v/>
      </c>
      <c r="Z256" s="17" t="str">
        <f>IF(OR(TEXT(Z$13,"ddd")="Sun",Z$13="",$D256=""),"",IF('Leave Planner'!X257="",1,0))</f>
        <v/>
      </c>
      <c r="AA256" s="17" t="str">
        <f>IF(OR(TEXT(AA$13,"ddd")="Sun",AA$13="",$D256=""),"",IF('Leave Planner'!Y257="",1,0))</f>
        <v/>
      </c>
      <c r="AB256" s="17" t="str">
        <f>IF(OR(TEXT(AB$13,"ddd")="Sun",AB$13="",$D256=""),"",IF('Leave Planner'!Z257="",1,0))</f>
        <v/>
      </c>
      <c r="AC256" s="17" t="str">
        <f>IF(OR(TEXT(AC$13,"ddd")="Sun",AC$13="",$D256=""),"",IF('Leave Planner'!AA257="",1,0))</f>
        <v/>
      </c>
      <c r="AD256" s="17" t="str">
        <f>IF(OR(TEXT(AD$13,"ddd")="Sun",AD$13="",$D256=""),"",IF('Leave Planner'!AB257="",1,0))</f>
        <v/>
      </c>
      <c r="AE256" s="17" t="str">
        <f>IF(OR(TEXT(AE$13,"ddd")="Sun",AE$13="",$D256=""),"",IF('Leave Planner'!AC257="",1,0))</f>
        <v/>
      </c>
      <c r="AF256" s="17" t="str">
        <f>IF(OR(TEXT(AF$13,"ddd")="Sun",AF$13="",$D256=""),"",IF('Leave Planner'!AD257="",1,0))</f>
        <v/>
      </c>
      <c r="AG256" s="17" t="str">
        <f>IF(OR(TEXT(AG$13,"ddd")="Sun",AG$13="",$D256=""),"",IF('Leave Planner'!AE257="",1,0))</f>
        <v/>
      </c>
      <c r="AH256" s="17" t="str">
        <f>IF(OR(TEXT(AH$13,"ddd")="Sun",AH$13="",$D256=""),"",IF('Leave Planner'!AF257="",1,0))</f>
        <v/>
      </c>
      <c r="AI256" s="17" t="str">
        <f>IF(OR(TEXT(AI$13,"ddd")="Sun",AI$13="",$D256=""),"",IF('Leave Planner'!AG257="",1,0))</f>
        <v/>
      </c>
      <c r="AJ256" s="17" t="str">
        <f>IF(OR(TEXT(AJ$13,"ddd")="Sun",AJ$13="",$D256=""),"",IF('Leave Planner'!AH257="",1,0))</f>
        <v/>
      </c>
    </row>
    <row r="257" spans="2:36" x14ac:dyDescent="0.75">
      <c r="B257" s="15"/>
      <c r="C257" s="22"/>
      <c r="D257" s="22"/>
      <c r="E257" s="42" t="str">
        <f t="shared" si="8"/>
        <v/>
      </c>
      <c r="F257" s="17" t="str">
        <f>IF(OR(TEXT(F$13,"ddd")="Sun",F$13="",$D257=""),"",IF('Leave Planner'!D258="",1,0))</f>
        <v/>
      </c>
      <c r="G257" s="17" t="str">
        <f>IF(OR(TEXT(G$13,"ddd")="Sun",G$13="",$D257=""),"",IF('Leave Planner'!E258="",1,0))</f>
        <v/>
      </c>
      <c r="H257" s="17" t="str">
        <f>IF(OR(TEXT(H$13,"ddd")="Sun",H$13="",$D257=""),"",IF('Leave Planner'!F258="",1,0))</f>
        <v/>
      </c>
      <c r="I257" s="17" t="str">
        <f>IF(OR(TEXT(I$13,"ddd")="Sun",I$13="",$D257=""),"",IF('Leave Planner'!G258="",1,0))</f>
        <v/>
      </c>
      <c r="J257" s="17" t="str">
        <f>IF(OR(TEXT(J$13,"ddd")="Sun",J$13="",$D257=""),"",IF('Leave Planner'!H258="",1,0))</f>
        <v/>
      </c>
      <c r="K257" s="17" t="str">
        <f>IF(OR(TEXT(K$13,"ddd")="Sun",K$13="",$D257=""),"",IF('Leave Planner'!I258="",1,0))</f>
        <v/>
      </c>
      <c r="L257" s="17" t="str">
        <f>IF(OR(TEXT(L$13,"ddd")="Sun",L$13="",$D257=""),"",IF('Leave Planner'!J258="",1,0))</f>
        <v/>
      </c>
      <c r="M257" s="17" t="str">
        <f>IF(OR(TEXT(M$13,"ddd")="Sun",M$13="",$D257=""),"",IF('Leave Planner'!K258="",1,0))</f>
        <v/>
      </c>
      <c r="N257" s="17" t="str">
        <f>IF(OR(TEXT(N$13,"ddd")="Sun",N$13="",$D257=""),"",IF('Leave Planner'!L258="",1,0))</f>
        <v/>
      </c>
      <c r="O257" s="17" t="str">
        <f>IF(OR(TEXT(O$13,"ddd")="Sun",O$13="",$D257=""),"",IF('Leave Planner'!M258="",1,0))</f>
        <v/>
      </c>
      <c r="P257" s="17" t="str">
        <f>IF(OR(TEXT(P$13,"ddd")="Sun",P$13="",$D257=""),"",IF('Leave Planner'!N258="",1,0))</f>
        <v/>
      </c>
      <c r="Q257" s="17" t="str">
        <f>IF(OR(TEXT(Q$13,"ddd")="Sun",Q$13="",$D257=""),"",IF('Leave Planner'!O258="",1,0))</f>
        <v/>
      </c>
      <c r="R257" s="17" t="str">
        <f>IF(OR(TEXT(R$13,"ddd")="Sun",R$13="",$D257=""),"",IF('Leave Planner'!P258="",1,0))</f>
        <v/>
      </c>
      <c r="S257" s="17" t="str">
        <f>IF(OR(TEXT(S$13,"ddd")="Sun",S$13="",$D257=""),"",IF('Leave Planner'!Q258="",1,0))</f>
        <v/>
      </c>
      <c r="T257" s="17" t="str">
        <f>IF(OR(TEXT(T$13,"ddd")="Sun",T$13="",$D257=""),"",IF('Leave Planner'!R258="",1,0))</f>
        <v/>
      </c>
      <c r="U257" s="17" t="str">
        <f>IF(OR(TEXT(U$13,"ddd")="Sun",U$13="",$D257=""),"",IF('Leave Planner'!S258="",1,0))</f>
        <v/>
      </c>
      <c r="V257" s="17" t="str">
        <f>IF(OR(TEXT(V$13,"ddd")="Sun",V$13="",$D257=""),"",IF('Leave Planner'!T258="",1,0))</f>
        <v/>
      </c>
      <c r="W257" s="17" t="str">
        <f>IF(OR(TEXT(W$13,"ddd")="Sun",W$13="",$D257=""),"",IF('Leave Planner'!U258="",1,0))</f>
        <v/>
      </c>
      <c r="X257" s="17" t="str">
        <f>IF(OR(TEXT(X$13,"ddd")="Sun",X$13="",$D257=""),"",IF('Leave Planner'!V258="",1,0))</f>
        <v/>
      </c>
      <c r="Y257" s="17" t="str">
        <f>IF(OR(TEXT(Y$13,"ddd")="Sun",Y$13="",$D257=""),"",IF('Leave Planner'!W258="",1,0))</f>
        <v/>
      </c>
      <c r="Z257" s="17" t="str">
        <f>IF(OR(TEXT(Z$13,"ddd")="Sun",Z$13="",$D257=""),"",IF('Leave Planner'!X258="",1,0))</f>
        <v/>
      </c>
      <c r="AA257" s="17" t="str">
        <f>IF(OR(TEXT(AA$13,"ddd")="Sun",AA$13="",$D257=""),"",IF('Leave Planner'!Y258="",1,0))</f>
        <v/>
      </c>
      <c r="AB257" s="17" t="str">
        <f>IF(OR(TEXT(AB$13,"ddd")="Sun",AB$13="",$D257=""),"",IF('Leave Planner'!Z258="",1,0))</f>
        <v/>
      </c>
      <c r="AC257" s="17" t="str">
        <f>IF(OR(TEXT(AC$13,"ddd")="Sun",AC$13="",$D257=""),"",IF('Leave Planner'!AA258="",1,0))</f>
        <v/>
      </c>
      <c r="AD257" s="17" t="str">
        <f>IF(OR(TEXT(AD$13,"ddd")="Sun",AD$13="",$D257=""),"",IF('Leave Planner'!AB258="",1,0))</f>
        <v/>
      </c>
      <c r="AE257" s="17" t="str">
        <f>IF(OR(TEXT(AE$13,"ddd")="Sun",AE$13="",$D257=""),"",IF('Leave Planner'!AC258="",1,0))</f>
        <v/>
      </c>
      <c r="AF257" s="17" t="str">
        <f>IF(OR(TEXT(AF$13,"ddd")="Sun",AF$13="",$D257=""),"",IF('Leave Planner'!AD258="",1,0))</f>
        <v/>
      </c>
      <c r="AG257" s="17" t="str">
        <f>IF(OR(TEXT(AG$13,"ddd")="Sun",AG$13="",$D257=""),"",IF('Leave Planner'!AE258="",1,0))</f>
        <v/>
      </c>
      <c r="AH257" s="17" t="str">
        <f>IF(OR(TEXT(AH$13,"ddd")="Sun",AH$13="",$D257=""),"",IF('Leave Planner'!AF258="",1,0))</f>
        <v/>
      </c>
      <c r="AI257" s="17" t="str">
        <f>IF(OR(TEXT(AI$13,"ddd")="Sun",AI$13="",$D257=""),"",IF('Leave Planner'!AG258="",1,0))</f>
        <v/>
      </c>
      <c r="AJ257" s="17" t="str">
        <f>IF(OR(TEXT(AJ$13,"ddd")="Sun",AJ$13="",$D257=""),"",IF('Leave Planner'!AH258="",1,0))</f>
        <v/>
      </c>
    </row>
    <row r="258" spans="2:36" x14ac:dyDescent="0.75">
      <c r="B258" s="15"/>
      <c r="C258" s="22"/>
      <c r="D258" s="22"/>
      <c r="E258" s="42" t="str">
        <f t="shared" si="8"/>
        <v/>
      </c>
      <c r="F258" s="17" t="str">
        <f>IF(OR(TEXT(F$13,"ddd")="Sun",F$13="",$D258=""),"",IF('Leave Planner'!D259="",1,0))</f>
        <v/>
      </c>
      <c r="G258" s="17" t="str">
        <f>IF(OR(TEXT(G$13,"ddd")="Sun",G$13="",$D258=""),"",IF('Leave Planner'!E259="",1,0))</f>
        <v/>
      </c>
      <c r="H258" s="17" t="str">
        <f>IF(OR(TEXT(H$13,"ddd")="Sun",H$13="",$D258=""),"",IF('Leave Planner'!F259="",1,0))</f>
        <v/>
      </c>
      <c r="I258" s="17" t="str">
        <f>IF(OR(TEXT(I$13,"ddd")="Sun",I$13="",$D258=""),"",IF('Leave Planner'!G259="",1,0))</f>
        <v/>
      </c>
      <c r="J258" s="17" t="str">
        <f>IF(OR(TEXT(J$13,"ddd")="Sun",J$13="",$D258=""),"",IF('Leave Planner'!H259="",1,0))</f>
        <v/>
      </c>
      <c r="K258" s="17" t="str">
        <f>IF(OR(TEXT(K$13,"ddd")="Sun",K$13="",$D258=""),"",IF('Leave Planner'!I259="",1,0))</f>
        <v/>
      </c>
      <c r="L258" s="17" t="str">
        <f>IF(OR(TEXT(L$13,"ddd")="Sun",L$13="",$D258=""),"",IF('Leave Planner'!J259="",1,0))</f>
        <v/>
      </c>
      <c r="M258" s="17" t="str">
        <f>IF(OR(TEXT(M$13,"ddd")="Sun",M$13="",$D258=""),"",IF('Leave Planner'!K259="",1,0))</f>
        <v/>
      </c>
      <c r="N258" s="17" t="str">
        <f>IF(OR(TEXT(N$13,"ddd")="Sun",N$13="",$D258=""),"",IF('Leave Planner'!L259="",1,0))</f>
        <v/>
      </c>
      <c r="O258" s="17" t="str">
        <f>IF(OR(TEXT(O$13,"ddd")="Sun",O$13="",$D258=""),"",IF('Leave Planner'!M259="",1,0))</f>
        <v/>
      </c>
      <c r="P258" s="17" t="str">
        <f>IF(OR(TEXT(P$13,"ddd")="Sun",P$13="",$D258=""),"",IF('Leave Planner'!N259="",1,0))</f>
        <v/>
      </c>
      <c r="Q258" s="17" t="str">
        <f>IF(OR(TEXT(Q$13,"ddd")="Sun",Q$13="",$D258=""),"",IF('Leave Planner'!O259="",1,0))</f>
        <v/>
      </c>
      <c r="R258" s="17" t="str">
        <f>IF(OR(TEXT(R$13,"ddd")="Sun",R$13="",$D258=""),"",IF('Leave Planner'!P259="",1,0))</f>
        <v/>
      </c>
      <c r="S258" s="17" t="str">
        <f>IF(OR(TEXT(S$13,"ddd")="Sun",S$13="",$D258=""),"",IF('Leave Planner'!Q259="",1,0))</f>
        <v/>
      </c>
      <c r="T258" s="17" t="str">
        <f>IF(OR(TEXT(T$13,"ddd")="Sun",T$13="",$D258=""),"",IF('Leave Planner'!R259="",1,0))</f>
        <v/>
      </c>
      <c r="U258" s="17" t="str">
        <f>IF(OR(TEXT(U$13,"ddd")="Sun",U$13="",$D258=""),"",IF('Leave Planner'!S259="",1,0))</f>
        <v/>
      </c>
      <c r="V258" s="17" t="str">
        <f>IF(OR(TEXT(V$13,"ddd")="Sun",V$13="",$D258=""),"",IF('Leave Planner'!T259="",1,0))</f>
        <v/>
      </c>
      <c r="W258" s="17" t="str">
        <f>IF(OR(TEXT(W$13,"ddd")="Sun",W$13="",$D258=""),"",IF('Leave Planner'!U259="",1,0))</f>
        <v/>
      </c>
      <c r="X258" s="17" t="str">
        <f>IF(OR(TEXT(X$13,"ddd")="Sun",X$13="",$D258=""),"",IF('Leave Planner'!V259="",1,0))</f>
        <v/>
      </c>
      <c r="Y258" s="17" t="str">
        <f>IF(OR(TEXT(Y$13,"ddd")="Sun",Y$13="",$D258=""),"",IF('Leave Planner'!W259="",1,0))</f>
        <v/>
      </c>
      <c r="Z258" s="17" t="str">
        <f>IF(OR(TEXT(Z$13,"ddd")="Sun",Z$13="",$D258=""),"",IF('Leave Planner'!X259="",1,0))</f>
        <v/>
      </c>
      <c r="AA258" s="17" t="str">
        <f>IF(OR(TEXT(AA$13,"ddd")="Sun",AA$13="",$D258=""),"",IF('Leave Planner'!Y259="",1,0))</f>
        <v/>
      </c>
      <c r="AB258" s="17" t="str">
        <f>IF(OR(TEXT(AB$13,"ddd")="Sun",AB$13="",$D258=""),"",IF('Leave Planner'!Z259="",1,0))</f>
        <v/>
      </c>
      <c r="AC258" s="17" t="str">
        <f>IF(OR(TEXT(AC$13,"ddd")="Sun",AC$13="",$D258=""),"",IF('Leave Planner'!AA259="",1,0))</f>
        <v/>
      </c>
      <c r="AD258" s="17" t="str">
        <f>IF(OR(TEXT(AD$13,"ddd")="Sun",AD$13="",$D258=""),"",IF('Leave Planner'!AB259="",1,0))</f>
        <v/>
      </c>
      <c r="AE258" s="17" t="str">
        <f>IF(OR(TEXT(AE$13,"ddd")="Sun",AE$13="",$D258=""),"",IF('Leave Planner'!AC259="",1,0))</f>
        <v/>
      </c>
      <c r="AF258" s="17" t="str">
        <f>IF(OR(TEXT(AF$13,"ddd")="Sun",AF$13="",$D258=""),"",IF('Leave Planner'!AD259="",1,0))</f>
        <v/>
      </c>
      <c r="AG258" s="17" t="str">
        <f>IF(OR(TEXT(AG$13,"ddd")="Sun",AG$13="",$D258=""),"",IF('Leave Planner'!AE259="",1,0))</f>
        <v/>
      </c>
      <c r="AH258" s="17" t="str">
        <f>IF(OR(TEXT(AH$13,"ddd")="Sun",AH$13="",$D258=""),"",IF('Leave Planner'!AF259="",1,0))</f>
        <v/>
      </c>
      <c r="AI258" s="17" t="str">
        <f>IF(OR(TEXT(AI$13,"ddd")="Sun",AI$13="",$D258=""),"",IF('Leave Planner'!AG259="",1,0))</f>
        <v/>
      </c>
      <c r="AJ258" s="17" t="str">
        <f>IF(OR(TEXT(AJ$13,"ddd")="Sun",AJ$13="",$D258=""),"",IF('Leave Planner'!AH259="",1,0))</f>
        <v/>
      </c>
    </row>
    <row r="259" spans="2:36" x14ac:dyDescent="0.75">
      <c r="B259" s="15"/>
      <c r="C259" s="22"/>
      <c r="D259" s="22"/>
      <c r="E259" s="42" t="str">
        <f t="shared" si="8"/>
        <v/>
      </c>
      <c r="F259" s="17" t="str">
        <f>IF(OR(TEXT(F$13,"ddd")="Sun",F$13="",$D259=""),"",IF('Leave Planner'!D260="",1,0))</f>
        <v/>
      </c>
      <c r="G259" s="17" t="str">
        <f>IF(OR(TEXT(G$13,"ddd")="Sun",G$13="",$D259=""),"",IF('Leave Planner'!E260="",1,0))</f>
        <v/>
      </c>
      <c r="H259" s="17" t="str">
        <f>IF(OR(TEXT(H$13,"ddd")="Sun",H$13="",$D259=""),"",IF('Leave Planner'!F260="",1,0))</f>
        <v/>
      </c>
      <c r="I259" s="17" t="str">
        <f>IF(OR(TEXT(I$13,"ddd")="Sun",I$13="",$D259=""),"",IF('Leave Planner'!G260="",1,0))</f>
        <v/>
      </c>
      <c r="J259" s="17" t="str">
        <f>IF(OR(TEXT(J$13,"ddd")="Sun",J$13="",$D259=""),"",IF('Leave Planner'!H260="",1,0))</f>
        <v/>
      </c>
      <c r="K259" s="17" t="str">
        <f>IF(OR(TEXT(K$13,"ddd")="Sun",K$13="",$D259=""),"",IF('Leave Planner'!I260="",1,0))</f>
        <v/>
      </c>
      <c r="L259" s="17" t="str">
        <f>IF(OR(TEXT(L$13,"ddd")="Sun",L$13="",$D259=""),"",IF('Leave Planner'!J260="",1,0))</f>
        <v/>
      </c>
      <c r="M259" s="17" t="str">
        <f>IF(OR(TEXT(M$13,"ddd")="Sun",M$13="",$D259=""),"",IF('Leave Planner'!K260="",1,0))</f>
        <v/>
      </c>
      <c r="N259" s="17" t="str">
        <f>IF(OR(TEXT(N$13,"ddd")="Sun",N$13="",$D259=""),"",IF('Leave Planner'!L260="",1,0))</f>
        <v/>
      </c>
      <c r="O259" s="17" t="str">
        <f>IF(OR(TEXT(O$13,"ddd")="Sun",O$13="",$D259=""),"",IF('Leave Planner'!M260="",1,0))</f>
        <v/>
      </c>
      <c r="P259" s="17" t="str">
        <f>IF(OR(TEXT(P$13,"ddd")="Sun",P$13="",$D259=""),"",IF('Leave Planner'!N260="",1,0))</f>
        <v/>
      </c>
      <c r="Q259" s="17" t="str">
        <f>IF(OR(TEXT(Q$13,"ddd")="Sun",Q$13="",$D259=""),"",IF('Leave Planner'!O260="",1,0))</f>
        <v/>
      </c>
      <c r="R259" s="17" t="str">
        <f>IF(OR(TEXT(R$13,"ddd")="Sun",R$13="",$D259=""),"",IF('Leave Planner'!P260="",1,0))</f>
        <v/>
      </c>
      <c r="S259" s="17" t="str">
        <f>IF(OR(TEXT(S$13,"ddd")="Sun",S$13="",$D259=""),"",IF('Leave Planner'!Q260="",1,0))</f>
        <v/>
      </c>
      <c r="T259" s="17" t="str">
        <f>IF(OR(TEXT(T$13,"ddd")="Sun",T$13="",$D259=""),"",IF('Leave Planner'!R260="",1,0))</f>
        <v/>
      </c>
      <c r="U259" s="17" t="str">
        <f>IF(OR(TEXT(U$13,"ddd")="Sun",U$13="",$D259=""),"",IF('Leave Planner'!S260="",1,0))</f>
        <v/>
      </c>
      <c r="V259" s="17" t="str">
        <f>IF(OR(TEXT(V$13,"ddd")="Sun",V$13="",$D259=""),"",IF('Leave Planner'!T260="",1,0))</f>
        <v/>
      </c>
      <c r="W259" s="17" t="str">
        <f>IF(OR(TEXT(W$13,"ddd")="Sun",W$13="",$D259=""),"",IF('Leave Planner'!U260="",1,0))</f>
        <v/>
      </c>
      <c r="X259" s="17" t="str">
        <f>IF(OR(TEXT(X$13,"ddd")="Sun",X$13="",$D259=""),"",IF('Leave Planner'!V260="",1,0))</f>
        <v/>
      </c>
      <c r="Y259" s="17" t="str">
        <f>IF(OR(TEXT(Y$13,"ddd")="Sun",Y$13="",$D259=""),"",IF('Leave Planner'!W260="",1,0))</f>
        <v/>
      </c>
      <c r="Z259" s="17" t="str">
        <f>IF(OR(TEXT(Z$13,"ddd")="Sun",Z$13="",$D259=""),"",IF('Leave Planner'!X260="",1,0))</f>
        <v/>
      </c>
      <c r="AA259" s="17" t="str">
        <f>IF(OR(TEXT(AA$13,"ddd")="Sun",AA$13="",$D259=""),"",IF('Leave Planner'!Y260="",1,0))</f>
        <v/>
      </c>
      <c r="AB259" s="17" t="str">
        <f>IF(OR(TEXT(AB$13,"ddd")="Sun",AB$13="",$D259=""),"",IF('Leave Planner'!Z260="",1,0))</f>
        <v/>
      </c>
      <c r="AC259" s="17" t="str">
        <f>IF(OR(TEXT(AC$13,"ddd")="Sun",AC$13="",$D259=""),"",IF('Leave Planner'!AA260="",1,0))</f>
        <v/>
      </c>
      <c r="AD259" s="17" t="str">
        <f>IF(OR(TEXT(AD$13,"ddd")="Sun",AD$13="",$D259=""),"",IF('Leave Planner'!AB260="",1,0))</f>
        <v/>
      </c>
      <c r="AE259" s="17" t="str">
        <f>IF(OR(TEXT(AE$13,"ddd")="Sun",AE$13="",$D259=""),"",IF('Leave Planner'!AC260="",1,0))</f>
        <v/>
      </c>
      <c r="AF259" s="17" t="str">
        <f>IF(OR(TEXT(AF$13,"ddd")="Sun",AF$13="",$D259=""),"",IF('Leave Planner'!AD260="",1,0))</f>
        <v/>
      </c>
      <c r="AG259" s="17" t="str">
        <f>IF(OR(TEXT(AG$13,"ddd")="Sun",AG$13="",$D259=""),"",IF('Leave Planner'!AE260="",1,0))</f>
        <v/>
      </c>
      <c r="AH259" s="17" t="str">
        <f>IF(OR(TEXT(AH$13,"ddd")="Sun",AH$13="",$D259=""),"",IF('Leave Planner'!AF260="",1,0))</f>
        <v/>
      </c>
      <c r="AI259" s="17" t="str">
        <f>IF(OR(TEXT(AI$13,"ddd")="Sun",AI$13="",$D259=""),"",IF('Leave Planner'!AG260="",1,0))</f>
        <v/>
      </c>
      <c r="AJ259" s="17" t="str">
        <f>IF(OR(TEXT(AJ$13,"ddd")="Sun",AJ$13="",$D259=""),"",IF('Leave Planner'!AH260="",1,0))</f>
        <v/>
      </c>
    </row>
    <row r="260" spans="2:36" x14ac:dyDescent="0.75">
      <c r="B260" s="15"/>
      <c r="C260" s="22"/>
      <c r="D260" s="22"/>
      <c r="E260" s="42" t="str">
        <f t="shared" si="8"/>
        <v/>
      </c>
      <c r="F260" s="17" t="str">
        <f>IF(OR(TEXT(F$13,"ddd")="Sun",F$13="",$D260=""),"",IF('Leave Planner'!D261="",1,0))</f>
        <v/>
      </c>
      <c r="G260" s="17" t="str">
        <f>IF(OR(TEXT(G$13,"ddd")="Sun",G$13="",$D260=""),"",IF('Leave Planner'!E261="",1,0))</f>
        <v/>
      </c>
      <c r="H260" s="17" t="str">
        <f>IF(OR(TEXT(H$13,"ddd")="Sun",H$13="",$D260=""),"",IF('Leave Planner'!F261="",1,0))</f>
        <v/>
      </c>
      <c r="I260" s="17" t="str">
        <f>IF(OR(TEXT(I$13,"ddd")="Sun",I$13="",$D260=""),"",IF('Leave Planner'!G261="",1,0))</f>
        <v/>
      </c>
      <c r="J260" s="17" t="str">
        <f>IF(OR(TEXT(J$13,"ddd")="Sun",J$13="",$D260=""),"",IF('Leave Planner'!H261="",1,0))</f>
        <v/>
      </c>
      <c r="K260" s="17" t="str">
        <f>IF(OR(TEXT(K$13,"ddd")="Sun",K$13="",$D260=""),"",IF('Leave Planner'!I261="",1,0))</f>
        <v/>
      </c>
      <c r="L260" s="17" t="str">
        <f>IF(OR(TEXT(L$13,"ddd")="Sun",L$13="",$D260=""),"",IF('Leave Planner'!J261="",1,0))</f>
        <v/>
      </c>
      <c r="M260" s="17" t="str">
        <f>IF(OR(TEXT(M$13,"ddd")="Sun",M$13="",$D260=""),"",IF('Leave Planner'!K261="",1,0))</f>
        <v/>
      </c>
      <c r="N260" s="17" t="str">
        <f>IF(OR(TEXT(N$13,"ddd")="Sun",N$13="",$D260=""),"",IF('Leave Planner'!L261="",1,0))</f>
        <v/>
      </c>
      <c r="O260" s="17" t="str">
        <f>IF(OR(TEXT(O$13,"ddd")="Sun",O$13="",$D260=""),"",IF('Leave Planner'!M261="",1,0))</f>
        <v/>
      </c>
      <c r="P260" s="17" t="str">
        <f>IF(OR(TEXT(P$13,"ddd")="Sun",P$13="",$D260=""),"",IF('Leave Planner'!N261="",1,0))</f>
        <v/>
      </c>
      <c r="Q260" s="17" t="str">
        <f>IF(OR(TEXT(Q$13,"ddd")="Sun",Q$13="",$D260=""),"",IF('Leave Planner'!O261="",1,0))</f>
        <v/>
      </c>
      <c r="R260" s="17" t="str">
        <f>IF(OR(TEXT(R$13,"ddd")="Sun",R$13="",$D260=""),"",IF('Leave Planner'!P261="",1,0))</f>
        <v/>
      </c>
      <c r="S260" s="17" t="str">
        <f>IF(OR(TEXT(S$13,"ddd")="Sun",S$13="",$D260=""),"",IF('Leave Planner'!Q261="",1,0))</f>
        <v/>
      </c>
      <c r="T260" s="17" t="str">
        <f>IF(OR(TEXT(T$13,"ddd")="Sun",T$13="",$D260=""),"",IF('Leave Planner'!R261="",1,0))</f>
        <v/>
      </c>
      <c r="U260" s="17" t="str">
        <f>IF(OR(TEXT(U$13,"ddd")="Sun",U$13="",$D260=""),"",IF('Leave Planner'!S261="",1,0))</f>
        <v/>
      </c>
      <c r="V260" s="17" t="str">
        <f>IF(OR(TEXT(V$13,"ddd")="Sun",V$13="",$D260=""),"",IF('Leave Planner'!T261="",1,0))</f>
        <v/>
      </c>
      <c r="W260" s="17" t="str">
        <f>IF(OR(TEXT(W$13,"ddd")="Sun",W$13="",$D260=""),"",IF('Leave Planner'!U261="",1,0))</f>
        <v/>
      </c>
      <c r="X260" s="17" t="str">
        <f>IF(OR(TEXT(X$13,"ddd")="Sun",X$13="",$D260=""),"",IF('Leave Planner'!V261="",1,0))</f>
        <v/>
      </c>
      <c r="Y260" s="17" t="str">
        <f>IF(OR(TEXT(Y$13,"ddd")="Sun",Y$13="",$D260=""),"",IF('Leave Planner'!W261="",1,0))</f>
        <v/>
      </c>
      <c r="Z260" s="17" t="str">
        <f>IF(OR(TEXT(Z$13,"ddd")="Sun",Z$13="",$D260=""),"",IF('Leave Planner'!X261="",1,0))</f>
        <v/>
      </c>
      <c r="AA260" s="17" t="str">
        <f>IF(OR(TEXT(AA$13,"ddd")="Sun",AA$13="",$D260=""),"",IF('Leave Planner'!Y261="",1,0))</f>
        <v/>
      </c>
      <c r="AB260" s="17" t="str">
        <f>IF(OR(TEXT(AB$13,"ddd")="Sun",AB$13="",$D260=""),"",IF('Leave Planner'!Z261="",1,0))</f>
        <v/>
      </c>
      <c r="AC260" s="17" t="str">
        <f>IF(OR(TEXT(AC$13,"ddd")="Sun",AC$13="",$D260=""),"",IF('Leave Planner'!AA261="",1,0))</f>
        <v/>
      </c>
      <c r="AD260" s="17" t="str">
        <f>IF(OR(TEXT(AD$13,"ddd")="Sun",AD$13="",$D260=""),"",IF('Leave Planner'!AB261="",1,0))</f>
        <v/>
      </c>
      <c r="AE260" s="17" t="str">
        <f>IF(OR(TEXT(AE$13,"ddd")="Sun",AE$13="",$D260=""),"",IF('Leave Planner'!AC261="",1,0))</f>
        <v/>
      </c>
      <c r="AF260" s="17" t="str">
        <f>IF(OR(TEXT(AF$13,"ddd")="Sun",AF$13="",$D260=""),"",IF('Leave Planner'!AD261="",1,0))</f>
        <v/>
      </c>
      <c r="AG260" s="17" t="str">
        <f>IF(OR(TEXT(AG$13,"ddd")="Sun",AG$13="",$D260=""),"",IF('Leave Planner'!AE261="",1,0))</f>
        <v/>
      </c>
      <c r="AH260" s="17" t="str">
        <f>IF(OR(TEXT(AH$13,"ddd")="Sun",AH$13="",$D260=""),"",IF('Leave Planner'!AF261="",1,0))</f>
        <v/>
      </c>
      <c r="AI260" s="17" t="str">
        <f>IF(OR(TEXT(AI$13,"ddd")="Sun",AI$13="",$D260=""),"",IF('Leave Planner'!AG261="",1,0))</f>
        <v/>
      </c>
      <c r="AJ260" s="17" t="str">
        <f>IF(OR(TEXT(AJ$13,"ddd")="Sun",AJ$13="",$D260=""),"",IF('Leave Planner'!AH261="",1,0))</f>
        <v/>
      </c>
    </row>
    <row r="261" spans="2:36" x14ac:dyDescent="0.75">
      <c r="B261" s="15"/>
      <c r="C261" s="22"/>
      <c r="D261" s="22"/>
      <c r="E261" s="42" t="str">
        <f t="shared" si="8"/>
        <v/>
      </c>
      <c r="F261" s="17" t="str">
        <f>IF(OR(TEXT(F$13,"ddd")="Sun",F$13="",$D261=""),"",IF('Leave Planner'!D262="",1,0))</f>
        <v/>
      </c>
      <c r="G261" s="17" t="str">
        <f>IF(OR(TEXT(G$13,"ddd")="Sun",G$13="",$D261=""),"",IF('Leave Planner'!E262="",1,0))</f>
        <v/>
      </c>
      <c r="H261" s="17" t="str">
        <f>IF(OR(TEXT(H$13,"ddd")="Sun",H$13="",$D261=""),"",IF('Leave Planner'!F262="",1,0))</f>
        <v/>
      </c>
      <c r="I261" s="17" t="str">
        <f>IF(OR(TEXT(I$13,"ddd")="Sun",I$13="",$D261=""),"",IF('Leave Planner'!G262="",1,0))</f>
        <v/>
      </c>
      <c r="J261" s="17" t="str">
        <f>IF(OR(TEXT(J$13,"ddd")="Sun",J$13="",$D261=""),"",IF('Leave Planner'!H262="",1,0))</f>
        <v/>
      </c>
      <c r="K261" s="17" t="str">
        <f>IF(OR(TEXT(K$13,"ddd")="Sun",K$13="",$D261=""),"",IF('Leave Planner'!I262="",1,0))</f>
        <v/>
      </c>
      <c r="L261" s="17" t="str">
        <f>IF(OR(TEXT(L$13,"ddd")="Sun",L$13="",$D261=""),"",IF('Leave Planner'!J262="",1,0))</f>
        <v/>
      </c>
      <c r="M261" s="17" t="str">
        <f>IF(OR(TEXT(M$13,"ddd")="Sun",M$13="",$D261=""),"",IF('Leave Planner'!K262="",1,0))</f>
        <v/>
      </c>
      <c r="N261" s="17" t="str">
        <f>IF(OR(TEXT(N$13,"ddd")="Sun",N$13="",$D261=""),"",IF('Leave Planner'!L262="",1,0))</f>
        <v/>
      </c>
      <c r="O261" s="17" t="str">
        <f>IF(OR(TEXT(O$13,"ddd")="Sun",O$13="",$D261=""),"",IF('Leave Planner'!M262="",1,0))</f>
        <v/>
      </c>
      <c r="P261" s="17" t="str">
        <f>IF(OR(TEXT(P$13,"ddd")="Sun",P$13="",$D261=""),"",IF('Leave Planner'!N262="",1,0))</f>
        <v/>
      </c>
      <c r="Q261" s="17" t="str">
        <f>IF(OR(TEXT(Q$13,"ddd")="Sun",Q$13="",$D261=""),"",IF('Leave Planner'!O262="",1,0))</f>
        <v/>
      </c>
      <c r="R261" s="17" t="str">
        <f>IF(OR(TEXT(R$13,"ddd")="Sun",R$13="",$D261=""),"",IF('Leave Planner'!P262="",1,0))</f>
        <v/>
      </c>
      <c r="S261" s="17" t="str">
        <f>IF(OR(TEXT(S$13,"ddd")="Sun",S$13="",$D261=""),"",IF('Leave Planner'!Q262="",1,0))</f>
        <v/>
      </c>
      <c r="T261" s="17" t="str">
        <f>IF(OR(TEXT(T$13,"ddd")="Sun",T$13="",$D261=""),"",IF('Leave Planner'!R262="",1,0))</f>
        <v/>
      </c>
      <c r="U261" s="17" t="str">
        <f>IF(OR(TEXT(U$13,"ddd")="Sun",U$13="",$D261=""),"",IF('Leave Planner'!S262="",1,0))</f>
        <v/>
      </c>
      <c r="V261" s="17" t="str">
        <f>IF(OR(TEXT(V$13,"ddd")="Sun",V$13="",$D261=""),"",IF('Leave Planner'!T262="",1,0))</f>
        <v/>
      </c>
      <c r="W261" s="17" t="str">
        <f>IF(OR(TEXT(W$13,"ddd")="Sun",W$13="",$D261=""),"",IF('Leave Planner'!U262="",1,0))</f>
        <v/>
      </c>
      <c r="X261" s="17" t="str">
        <f>IF(OR(TEXT(X$13,"ddd")="Sun",X$13="",$D261=""),"",IF('Leave Planner'!V262="",1,0))</f>
        <v/>
      </c>
      <c r="Y261" s="17" t="str">
        <f>IF(OR(TEXT(Y$13,"ddd")="Sun",Y$13="",$D261=""),"",IF('Leave Planner'!W262="",1,0))</f>
        <v/>
      </c>
      <c r="Z261" s="17" t="str">
        <f>IF(OR(TEXT(Z$13,"ddd")="Sun",Z$13="",$D261=""),"",IF('Leave Planner'!X262="",1,0))</f>
        <v/>
      </c>
      <c r="AA261" s="17" t="str">
        <f>IF(OR(TEXT(AA$13,"ddd")="Sun",AA$13="",$D261=""),"",IF('Leave Planner'!Y262="",1,0))</f>
        <v/>
      </c>
      <c r="AB261" s="17" t="str">
        <f>IF(OR(TEXT(AB$13,"ddd")="Sun",AB$13="",$D261=""),"",IF('Leave Planner'!Z262="",1,0))</f>
        <v/>
      </c>
      <c r="AC261" s="17" t="str">
        <f>IF(OR(TEXT(AC$13,"ddd")="Sun",AC$13="",$D261=""),"",IF('Leave Planner'!AA262="",1,0))</f>
        <v/>
      </c>
      <c r="AD261" s="17" t="str">
        <f>IF(OR(TEXT(AD$13,"ddd")="Sun",AD$13="",$D261=""),"",IF('Leave Planner'!AB262="",1,0))</f>
        <v/>
      </c>
      <c r="AE261" s="17" t="str">
        <f>IF(OR(TEXT(AE$13,"ddd")="Sun",AE$13="",$D261=""),"",IF('Leave Planner'!AC262="",1,0))</f>
        <v/>
      </c>
      <c r="AF261" s="17" t="str">
        <f>IF(OR(TEXT(AF$13,"ddd")="Sun",AF$13="",$D261=""),"",IF('Leave Planner'!AD262="",1,0))</f>
        <v/>
      </c>
      <c r="AG261" s="17" t="str">
        <f>IF(OR(TEXT(AG$13,"ddd")="Sun",AG$13="",$D261=""),"",IF('Leave Planner'!AE262="",1,0))</f>
        <v/>
      </c>
      <c r="AH261" s="17" t="str">
        <f>IF(OR(TEXT(AH$13,"ddd")="Sun",AH$13="",$D261=""),"",IF('Leave Planner'!AF262="",1,0))</f>
        <v/>
      </c>
      <c r="AI261" s="17" t="str">
        <f>IF(OR(TEXT(AI$13,"ddd")="Sun",AI$13="",$D261=""),"",IF('Leave Planner'!AG262="",1,0))</f>
        <v/>
      </c>
      <c r="AJ261" s="17" t="str">
        <f>IF(OR(TEXT(AJ$13,"ddd")="Sun",AJ$13="",$D261=""),"",IF('Leave Planner'!AH262="",1,0))</f>
        <v/>
      </c>
    </row>
    <row r="262" spans="2:36" x14ac:dyDescent="0.75">
      <c r="B262" s="15"/>
      <c r="C262" s="22"/>
      <c r="D262" s="22"/>
      <c r="E262" s="42" t="str">
        <f t="shared" si="8"/>
        <v/>
      </c>
      <c r="F262" s="17" t="str">
        <f>IF(OR(TEXT(F$13,"ddd")="Sun",F$13="",$D262=""),"",IF('Leave Planner'!D263="",1,0))</f>
        <v/>
      </c>
      <c r="G262" s="17" t="str">
        <f>IF(OR(TEXT(G$13,"ddd")="Sun",G$13="",$D262=""),"",IF('Leave Planner'!E263="",1,0))</f>
        <v/>
      </c>
      <c r="H262" s="17" t="str">
        <f>IF(OR(TEXT(H$13,"ddd")="Sun",H$13="",$D262=""),"",IF('Leave Planner'!F263="",1,0))</f>
        <v/>
      </c>
      <c r="I262" s="17" t="str">
        <f>IF(OR(TEXT(I$13,"ddd")="Sun",I$13="",$D262=""),"",IF('Leave Planner'!G263="",1,0))</f>
        <v/>
      </c>
      <c r="J262" s="17" t="str">
        <f>IF(OR(TEXT(J$13,"ddd")="Sun",J$13="",$D262=""),"",IF('Leave Planner'!H263="",1,0))</f>
        <v/>
      </c>
      <c r="K262" s="17" t="str">
        <f>IF(OR(TEXT(K$13,"ddd")="Sun",K$13="",$D262=""),"",IF('Leave Planner'!I263="",1,0))</f>
        <v/>
      </c>
      <c r="L262" s="17" t="str">
        <f>IF(OR(TEXT(L$13,"ddd")="Sun",L$13="",$D262=""),"",IF('Leave Planner'!J263="",1,0))</f>
        <v/>
      </c>
      <c r="M262" s="17" t="str">
        <f>IF(OR(TEXT(M$13,"ddd")="Sun",M$13="",$D262=""),"",IF('Leave Planner'!K263="",1,0))</f>
        <v/>
      </c>
      <c r="N262" s="17" t="str">
        <f>IF(OR(TEXT(N$13,"ddd")="Sun",N$13="",$D262=""),"",IF('Leave Planner'!L263="",1,0))</f>
        <v/>
      </c>
      <c r="O262" s="17" t="str">
        <f>IF(OR(TEXT(O$13,"ddd")="Sun",O$13="",$D262=""),"",IF('Leave Planner'!M263="",1,0))</f>
        <v/>
      </c>
      <c r="P262" s="17" t="str">
        <f>IF(OR(TEXT(P$13,"ddd")="Sun",P$13="",$D262=""),"",IF('Leave Planner'!N263="",1,0))</f>
        <v/>
      </c>
      <c r="Q262" s="17" t="str">
        <f>IF(OR(TEXT(Q$13,"ddd")="Sun",Q$13="",$D262=""),"",IF('Leave Planner'!O263="",1,0))</f>
        <v/>
      </c>
      <c r="R262" s="17" t="str">
        <f>IF(OR(TEXT(R$13,"ddd")="Sun",R$13="",$D262=""),"",IF('Leave Planner'!P263="",1,0))</f>
        <v/>
      </c>
      <c r="S262" s="17" t="str">
        <f>IF(OR(TEXT(S$13,"ddd")="Sun",S$13="",$D262=""),"",IF('Leave Planner'!Q263="",1,0))</f>
        <v/>
      </c>
      <c r="T262" s="17" t="str">
        <f>IF(OR(TEXT(T$13,"ddd")="Sun",T$13="",$D262=""),"",IF('Leave Planner'!R263="",1,0))</f>
        <v/>
      </c>
      <c r="U262" s="17" t="str">
        <f>IF(OR(TEXT(U$13,"ddd")="Sun",U$13="",$D262=""),"",IF('Leave Planner'!S263="",1,0))</f>
        <v/>
      </c>
      <c r="V262" s="17" t="str">
        <f>IF(OR(TEXT(V$13,"ddd")="Sun",V$13="",$D262=""),"",IF('Leave Planner'!T263="",1,0))</f>
        <v/>
      </c>
      <c r="W262" s="17" t="str">
        <f>IF(OR(TEXT(W$13,"ddd")="Sun",W$13="",$D262=""),"",IF('Leave Planner'!U263="",1,0))</f>
        <v/>
      </c>
      <c r="X262" s="17" t="str">
        <f>IF(OR(TEXT(X$13,"ddd")="Sun",X$13="",$D262=""),"",IF('Leave Planner'!V263="",1,0))</f>
        <v/>
      </c>
      <c r="Y262" s="17" t="str">
        <f>IF(OR(TEXT(Y$13,"ddd")="Sun",Y$13="",$D262=""),"",IF('Leave Planner'!W263="",1,0))</f>
        <v/>
      </c>
      <c r="Z262" s="17" t="str">
        <f>IF(OR(TEXT(Z$13,"ddd")="Sun",Z$13="",$D262=""),"",IF('Leave Planner'!X263="",1,0))</f>
        <v/>
      </c>
      <c r="AA262" s="17" t="str">
        <f>IF(OR(TEXT(AA$13,"ddd")="Sun",AA$13="",$D262=""),"",IF('Leave Planner'!Y263="",1,0))</f>
        <v/>
      </c>
      <c r="AB262" s="17" t="str">
        <f>IF(OR(TEXT(AB$13,"ddd")="Sun",AB$13="",$D262=""),"",IF('Leave Planner'!Z263="",1,0))</f>
        <v/>
      </c>
      <c r="AC262" s="17" t="str">
        <f>IF(OR(TEXT(AC$13,"ddd")="Sun",AC$13="",$D262=""),"",IF('Leave Planner'!AA263="",1,0))</f>
        <v/>
      </c>
      <c r="AD262" s="17" t="str">
        <f>IF(OR(TEXT(AD$13,"ddd")="Sun",AD$13="",$D262=""),"",IF('Leave Planner'!AB263="",1,0))</f>
        <v/>
      </c>
      <c r="AE262" s="17" t="str">
        <f>IF(OR(TEXT(AE$13,"ddd")="Sun",AE$13="",$D262=""),"",IF('Leave Planner'!AC263="",1,0))</f>
        <v/>
      </c>
      <c r="AF262" s="17" t="str">
        <f>IF(OR(TEXT(AF$13,"ddd")="Sun",AF$13="",$D262=""),"",IF('Leave Planner'!AD263="",1,0))</f>
        <v/>
      </c>
      <c r="AG262" s="17" t="str">
        <f>IF(OR(TEXT(AG$13,"ddd")="Sun",AG$13="",$D262=""),"",IF('Leave Planner'!AE263="",1,0))</f>
        <v/>
      </c>
      <c r="AH262" s="17" t="str">
        <f>IF(OR(TEXT(AH$13,"ddd")="Sun",AH$13="",$D262=""),"",IF('Leave Planner'!AF263="",1,0))</f>
        <v/>
      </c>
      <c r="AI262" s="17" t="str">
        <f>IF(OR(TEXT(AI$13,"ddd")="Sun",AI$13="",$D262=""),"",IF('Leave Planner'!AG263="",1,0))</f>
        <v/>
      </c>
      <c r="AJ262" s="17" t="str">
        <f>IF(OR(TEXT(AJ$13,"ddd")="Sun",AJ$13="",$D262=""),"",IF('Leave Planner'!AH263="",1,0))</f>
        <v/>
      </c>
    </row>
    <row r="263" spans="2:36" x14ac:dyDescent="0.75">
      <c r="B263" s="15"/>
      <c r="C263" s="22"/>
      <c r="D263" s="22"/>
      <c r="E263" s="42" t="str">
        <f t="shared" si="8"/>
        <v/>
      </c>
      <c r="F263" s="17" t="str">
        <f>IF(OR(TEXT(F$13,"ddd")="Sun",F$13="",$D263=""),"",IF('Leave Planner'!D264="",1,0))</f>
        <v/>
      </c>
      <c r="G263" s="17" t="str">
        <f>IF(OR(TEXT(G$13,"ddd")="Sun",G$13="",$D263=""),"",IF('Leave Planner'!E264="",1,0))</f>
        <v/>
      </c>
      <c r="H263" s="17" t="str">
        <f>IF(OR(TEXT(H$13,"ddd")="Sun",H$13="",$D263=""),"",IF('Leave Planner'!F264="",1,0))</f>
        <v/>
      </c>
      <c r="I263" s="17" t="str">
        <f>IF(OR(TEXT(I$13,"ddd")="Sun",I$13="",$D263=""),"",IF('Leave Planner'!G264="",1,0))</f>
        <v/>
      </c>
      <c r="J263" s="17" t="str">
        <f>IF(OR(TEXT(J$13,"ddd")="Sun",J$13="",$D263=""),"",IF('Leave Planner'!H264="",1,0))</f>
        <v/>
      </c>
      <c r="K263" s="17" t="str">
        <f>IF(OR(TEXT(K$13,"ddd")="Sun",K$13="",$D263=""),"",IF('Leave Planner'!I264="",1,0))</f>
        <v/>
      </c>
      <c r="L263" s="17" t="str">
        <f>IF(OR(TEXT(L$13,"ddd")="Sun",L$13="",$D263=""),"",IF('Leave Planner'!J264="",1,0))</f>
        <v/>
      </c>
      <c r="M263" s="17" t="str">
        <f>IF(OR(TEXT(M$13,"ddd")="Sun",M$13="",$D263=""),"",IF('Leave Planner'!K264="",1,0))</f>
        <v/>
      </c>
      <c r="N263" s="17" t="str">
        <f>IF(OR(TEXT(N$13,"ddd")="Sun",N$13="",$D263=""),"",IF('Leave Planner'!L264="",1,0))</f>
        <v/>
      </c>
      <c r="O263" s="17" t="str">
        <f>IF(OR(TEXT(O$13,"ddd")="Sun",O$13="",$D263=""),"",IF('Leave Planner'!M264="",1,0))</f>
        <v/>
      </c>
      <c r="P263" s="17" t="str">
        <f>IF(OR(TEXT(P$13,"ddd")="Sun",P$13="",$D263=""),"",IF('Leave Planner'!N264="",1,0))</f>
        <v/>
      </c>
      <c r="Q263" s="17" t="str">
        <f>IF(OR(TEXT(Q$13,"ddd")="Sun",Q$13="",$D263=""),"",IF('Leave Planner'!O264="",1,0))</f>
        <v/>
      </c>
      <c r="R263" s="17" t="str">
        <f>IF(OR(TEXT(R$13,"ddd")="Sun",R$13="",$D263=""),"",IF('Leave Planner'!P264="",1,0))</f>
        <v/>
      </c>
      <c r="S263" s="17" t="str">
        <f>IF(OR(TEXT(S$13,"ddd")="Sun",S$13="",$D263=""),"",IF('Leave Planner'!Q264="",1,0))</f>
        <v/>
      </c>
      <c r="T263" s="17" t="str">
        <f>IF(OR(TEXT(T$13,"ddd")="Sun",T$13="",$D263=""),"",IF('Leave Planner'!R264="",1,0))</f>
        <v/>
      </c>
      <c r="U263" s="17" t="str">
        <f>IF(OR(TEXT(U$13,"ddd")="Sun",U$13="",$D263=""),"",IF('Leave Planner'!S264="",1,0))</f>
        <v/>
      </c>
      <c r="V263" s="17" t="str">
        <f>IF(OR(TEXT(V$13,"ddd")="Sun",V$13="",$D263=""),"",IF('Leave Planner'!T264="",1,0))</f>
        <v/>
      </c>
      <c r="W263" s="17" t="str">
        <f>IF(OR(TEXT(W$13,"ddd")="Sun",W$13="",$D263=""),"",IF('Leave Planner'!U264="",1,0))</f>
        <v/>
      </c>
      <c r="X263" s="17" t="str">
        <f>IF(OR(TEXT(X$13,"ddd")="Sun",X$13="",$D263=""),"",IF('Leave Planner'!V264="",1,0))</f>
        <v/>
      </c>
      <c r="Y263" s="17" t="str">
        <f>IF(OR(TEXT(Y$13,"ddd")="Sun",Y$13="",$D263=""),"",IF('Leave Planner'!W264="",1,0))</f>
        <v/>
      </c>
      <c r="Z263" s="17" t="str">
        <f>IF(OR(TEXT(Z$13,"ddd")="Sun",Z$13="",$D263=""),"",IF('Leave Planner'!X264="",1,0))</f>
        <v/>
      </c>
      <c r="AA263" s="17" t="str">
        <f>IF(OR(TEXT(AA$13,"ddd")="Sun",AA$13="",$D263=""),"",IF('Leave Planner'!Y264="",1,0))</f>
        <v/>
      </c>
      <c r="AB263" s="17" t="str">
        <f>IF(OR(TEXT(AB$13,"ddd")="Sun",AB$13="",$D263=""),"",IF('Leave Planner'!Z264="",1,0))</f>
        <v/>
      </c>
      <c r="AC263" s="17" t="str">
        <f>IF(OR(TEXT(AC$13,"ddd")="Sun",AC$13="",$D263=""),"",IF('Leave Planner'!AA264="",1,0))</f>
        <v/>
      </c>
      <c r="AD263" s="17" t="str">
        <f>IF(OR(TEXT(AD$13,"ddd")="Sun",AD$13="",$D263=""),"",IF('Leave Planner'!AB264="",1,0))</f>
        <v/>
      </c>
      <c r="AE263" s="17" t="str">
        <f>IF(OR(TEXT(AE$13,"ddd")="Sun",AE$13="",$D263=""),"",IF('Leave Planner'!AC264="",1,0))</f>
        <v/>
      </c>
      <c r="AF263" s="17" t="str">
        <f>IF(OR(TEXT(AF$13,"ddd")="Sun",AF$13="",$D263=""),"",IF('Leave Planner'!AD264="",1,0))</f>
        <v/>
      </c>
      <c r="AG263" s="17" t="str">
        <f>IF(OR(TEXT(AG$13,"ddd")="Sun",AG$13="",$D263=""),"",IF('Leave Planner'!AE264="",1,0))</f>
        <v/>
      </c>
      <c r="AH263" s="17" t="str">
        <f>IF(OR(TEXT(AH$13,"ddd")="Sun",AH$13="",$D263=""),"",IF('Leave Planner'!AF264="",1,0))</f>
        <v/>
      </c>
      <c r="AI263" s="17" t="str">
        <f>IF(OR(TEXT(AI$13,"ddd")="Sun",AI$13="",$D263=""),"",IF('Leave Planner'!AG264="",1,0))</f>
        <v/>
      </c>
      <c r="AJ263" s="17" t="str">
        <f>IF(OR(TEXT(AJ$13,"ddd")="Sun",AJ$13="",$D263=""),"",IF('Leave Planner'!AH264="",1,0))</f>
        <v/>
      </c>
    </row>
    <row r="264" spans="2:36" x14ac:dyDescent="0.75">
      <c r="B264" s="15"/>
      <c r="C264" s="22"/>
      <c r="D264" s="22"/>
      <c r="E264" s="42" t="str">
        <f t="shared" si="8"/>
        <v/>
      </c>
      <c r="F264" s="17" t="str">
        <f>IF(OR(TEXT(F$13,"ddd")="Sun",F$13="",$D264=""),"",IF('Leave Planner'!D265="",1,0))</f>
        <v/>
      </c>
      <c r="G264" s="17" t="str">
        <f>IF(OR(TEXT(G$13,"ddd")="Sun",G$13="",$D264=""),"",IF('Leave Planner'!E265="",1,0))</f>
        <v/>
      </c>
      <c r="H264" s="17" t="str">
        <f>IF(OR(TEXT(H$13,"ddd")="Sun",H$13="",$D264=""),"",IF('Leave Planner'!F265="",1,0))</f>
        <v/>
      </c>
      <c r="I264" s="17" t="str">
        <f>IF(OR(TEXT(I$13,"ddd")="Sun",I$13="",$D264=""),"",IF('Leave Planner'!G265="",1,0))</f>
        <v/>
      </c>
      <c r="J264" s="17" t="str">
        <f>IF(OR(TEXT(J$13,"ddd")="Sun",J$13="",$D264=""),"",IF('Leave Planner'!H265="",1,0))</f>
        <v/>
      </c>
      <c r="K264" s="17" t="str">
        <f>IF(OR(TEXT(K$13,"ddd")="Sun",K$13="",$D264=""),"",IF('Leave Planner'!I265="",1,0))</f>
        <v/>
      </c>
      <c r="L264" s="17" t="str">
        <f>IF(OR(TEXT(L$13,"ddd")="Sun",L$13="",$D264=""),"",IF('Leave Planner'!J265="",1,0))</f>
        <v/>
      </c>
      <c r="M264" s="17" t="str">
        <f>IF(OR(TEXT(M$13,"ddd")="Sun",M$13="",$D264=""),"",IF('Leave Planner'!K265="",1,0))</f>
        <v/>
      </c>
      <c r="N264" s="17" t="str">
        <f>IF(OR(TEXT(N$13,"ddd")="Sun",N$13="",$D264=""),"",IF('Leave Planner'!L265="",1,0))</f>
        <v/>
      </c>
      <c r="O264" s="17" t="str">
        <f>IF(OR(TEXT(O$13,"ddd")="Sun",O$13="",$D264=""),"",IF('Leave Planner'!M265="",1,0))</f>
        <v/>
      </c>
      <c r="P264" s="17" t="str">
        <f>IF(OR(TEXT(P$13,"ddd")="Sun",P$13="",$D264=""),"",IF('Leave Planner'!N265="",1,0))</f>
        <v/>
      </c>
      <c r="Q264" s="17" t="str">
        <f>IF(OR(TEXT(Q$13,"ddd")="Sun",Q$13="",$D264=""),"",IF('Leave Planner'!O265="",1,0))</f>
        <v/>
      </c>
      <c r="R264" s="17" t="str">
        <f>IF(OR(TEXT(R$13,"ddd")="Sun",R$13="",$D264=""),"",IF('Leave Planner'!P265="",1,0))</f>
        <v/>
      </c>
      <c r="S264" s="17" t="str">
        <f>IF(OR(TEXT(S$13,"ddd")="Sun",S$13="",$D264=""),"",IF('Leave Planner'!Q265="",1,0))</f>
        <v/>
      </c>
      <c r="T264" s="17" t="str">
        <f>IF(OR(TEXT(T$13,"ddd")="Sun",T$13="",$D264=""),"",IF('Leave Planner'!R265="",1,0))</f>
        <v/>
      </c>
      <c r="U264" s="17" t="str">
        <f>IF(OR(TEXT(U$13,"ddd")="Sun",U$13="",$D264=""),"",IF('Leave Planner'!S265="",1,0))</f>
        <v/>
      </c>
      <c r="V264" s="17" t="str">
        <f>IF(OR(TEXT(V$13,"ddd")="Sun",V$13="",$D264=""),"",IF('Leave Planner'!T265="",1,0))</f>
        <v/>
      </c>
      <c r="W264" s="17" t="str">
        <f>IF(OR(TEXT(W$13,"ddd")="Sun",W$13="",$D264=""),"",IF('Leave Planner'!U265="",1,0))</f>
        <v/>
      </c>
      <c r="X264" s="17" t="str">
        <f>IF(OR(TEXT(X$13,"ddd")="Sun",X$13="",$D264=""),"",IF('Leave Planner'!V265="",1,0))</f>
        <v/>
      </c>
      <c r="Y264" s="17" t="str">
        <f>IF(OR(TEXT(Y$13,"ddd")="Sun",Y$13="",$D264=""),"",IF('Leave Planner'!W265="",1,0))</f>
        <v/>
      </c>
      <c r="Z264" s="17" t="str">
        <f>IF(OR(TEXT(Z$13,"ddd")="Sun",Z$13="",$D264=""),"",IF('Leave Planner'!X265="",1,0))</f>
        <v/>
      </c>
      <c r="AA264" s="17" t="str">
        <f>IF(OR(TEXT(AA$13,"ddd")="Sun",AA$13="",$D264=""),"",IF('Leave Planner'!Y265="",1,0))</f>
        <v/>
      </c>
      <c r="AB264" s="17" t="str">
        <f>IF(OR(TEXT(AB$13,"ddd")="Sun",AB$13="",$D264=""),"",IF('Leave Planner'!Z265="",1,0))</f>
        <v/>
      </c>
      <c r="AC264" s="17" t="str">
        <f>IF(OR(TEXT(AC$13,"ddd")="Sun",AC$13="",$D264=""),"",IF('Leave Planner'!AA265="",1,0))</f>
        <v/>
      </c>
      <c r="AD264" s="17" t="str">
        <f>IF(OR(TEXT(AD$13,"ddd")="Sun",AD$13="",$D264=""),"",IF('Leave Planner'!AB265="",1,0))</f>
        <v/>
      </c>
      <c r="AE264" s="17" t="str">
        <f>IF(OR(TEXT(AE$13,"ddd")="Sun",AE$13="",$D264=""),"",IF('Leave Planner'!AC265="",1,0))</f>
        <v/>
      </c>
      <c r="AF264" s="17" t="str">
        <f>IF(OR(TEXT(AF$13,"ddd")="Sun",AF$13="",$D264=""),"",IF('Leave Planner'!AD265="",1,0))</f>
        <v/>
      </c>
      <c r="AG264" s="17" t="str">
        <f>IF(OR(TEXT(AG$13,"ddd")="Sun",AG$13="",$D264=""),"",IF('Leave Planner'!AE265="",1,0))</f>
        <v/>
      </c>
      <c r="AH264" s="17" t="str">
        <f>IF(OR(TEXT(AH$13,"ddd")="Sun",AH$13="",$D264=""),"",IF('Leave Planner'!AF265="",1,0))</f>
        <v/>
      </c>
      <c r="AI264" s="17" t="str">
        <f>IF(OR(TEXT(AI$13,"ddd")="Sun",AI$13="",$D264=""),"",IF('Leave Planner'!AG265="",1,0))</f>
        <v/>
      </c>
      <c r="AJ264" s="17" t="str">
        <f>IF(OR(TEXT(AJ$13,"ddd")="Sun",AJ$13="",$D264=""),"",IF('Leave Planner'!AH265="",1,0))</f>
        <v/>
      </c>
    </row>
    <row r="265" spans="2:36" x14ac:dyDescent="0.75">
      <c r="B265" s="15"/>
      <c r="C265" s="22"/>
      <c r="D265" s="22"/>
      <c r="E265" s="42" t="str">
        <f t="shared" si="8"/>
        <v/>
      </c>
      <c r="F265" s="17" t="str">
        <f>IF(OR(TEXT(F$13,"ddd")="Sun",F$13="",$D265=""),"",IF('Leave Planner'!D266="",1,0))</f>
        <v/>
      </c>
      <c r="G265" s="17" t="str">
        <f>IF(OR(TEXT(G$13,"ddd")="Sun",G$13="",$D265=""),"",IF('Leave Planner'!E266="",1,0))</f>
        <v/>
      </c>
      <c r="H265" s="17" t="str">
        <f>IF(OR(TEXT(H$13,"ddd")="Sun",H$13="",$D265=""),"",IF('Leave Planner'!F266="",1,0))</f>
        <v/>
      </c>
      <c r="I265" s="17" t="str">
        <f>IF(OR(TEXT(I$13,"ddd")="Sun",I$13="",$D265=""),"",IF('Leave Planner'!G266="",1,0))</f>
        <v/>
      </c>
      <c r="J265" s="17" t="str">
        <f>IF(OR(TEXT(J$13,"ddd")="Sun",J$13="",$D265=""),"",IF('Leave Planner'!H266="",1,0))</f>
        <v/>
      </c>
      <c r="K265" s="17" t="str">
        <f>IF(OR(TEXT(K$13,"ddd")="Sun",K$13="",$D265=""),"",IF('Leave Planner'!I266="",1,0))</f>
        <v/>
      </c>
      <c r="L265" s="17" t="str">
        <f>IF(OR(TEXT(L$13,"ddd")="Sun",L$13="",$D265=""),"",IF('Leave Planner'!J266="",1,0))</f>
        <v/>
      </c>
      <c r="M265" s="17" t="str">
        <f>IF(OR(TEXT(M$13,"ddd")="Sun",M$13="",$D265=""),"",IF('Leave Planner'!K266="",1,0))</f>
        <v/>
      </c>
      <c r="N265" s="17" t="str">
        <f>IF(OR(TEXT(N$13,"ddd")="Sun",N$13="",$D265=""),"",IF('Leave Planner'!L266="",1,0))</f>
        <v/>
      </c>
      <c r="O265" s="17" t="str">
        <f>IF(OR(TEXT(O$13,"ddd")="Sun",O$13="",$D265=""),"",IF('Leave Planner'!M266="",1,0))</f>
        <v/>
      </c>
      <c r="P265" s="17" t="str">
        <f>IF(OR(TEXT(P$13,"ddd")="Sun",P$13="",$D265=""),"",IF('Leave Planner'!N266="",1,0))</f>
        <v/>
      </c>
      <c r="Q265" s="17" t="str">
        <f>IF(OR(TEXT(Q$13,"ddd")="Sun",Q$13="",$D265=""),"",IF('Leave Planner'!O266="",1,0))</f>
        <v/>
      </c>
      <c r="R265" s="17" t="str">
        <f>IF(OR(TEXT(R$13,"ddd")="Sun",R$13="",$D265=""),"",IF('Leave Planner'!P266="",1,0))</f>
        <v/>
      </c>
      <c r="S265" s="17" t="str">
        <f>IF(OR(TEXT(S$13,"ddd")="Sun",S$13="",$D265=""),"",IF('Leave Planner'!Q266="",1,0))</f>
        <v/>
      </c>
      <c r="T265" s="17" t="str">
        <f>IF(OR(TEXT(T$13,"ddd")="Sun",T$13="",$D265=""),"",IF('Leave Planner'!R266="",1,0))</f>
        <v/>
      </c>
      <c r="U265" s="17" t="str">
        <f>IF(OR(TEXT(U$13,"ddd")="Sun",U$13="",$D265=""),"",IF('Leave Planner'!S266="",1,0))</f>
        <v/>
      </c>
      <c r="V265" s="17" t="str">
        <f>IF(OR(TEXT(V$13,"ddd")="Sun",V$13="",$D265=""),"",IF('Leave Planner'!T266="",1,0))</f>
        <v/>
      </c>
      <c r="W265" s="17" t="str">
        <f>IF(OR(TEXT(W$13,"ddd")="Sun",W$13="",$D265=""),"",IF('Leave Planner'!U266="",1,0))</f>
        <v/>
      </c>
      <c r="X265" s="17" t="str">
        <f>IF(OR(TEXT(X$13,"ddd")="Sun",X$13="",$D265=""),"",IF('Leave Planner'!V266="",1,0))</f>
        <v/>
      </c>
      <c r="Y265" s="17" t="str">
        <f>IF(OR(TEXT(Y$13,"ddd")="Sun",Y$13="",$D265=""),"",IF('Leave Planner'!W266="",1,0))</f>
        <v/>
      </c>
      <c r="Z265" s="17" t="str">
        <f>IF(OR(TEXT(Z$13,"ddd")="Sun",Z$13="",$D265=""),"",IF('Leave Planner'!X266="",1,0))</f>
        <v/>
      </c>
      <c r="AA265" s="17" t="str">
        <f>IF(OR(TEXT(AA$13,"ddd")="Sun",AA$13="",$D265=""),"",IF('Leave Planner'!Y266="",1,0))</f>
        <v/>
      </c>
      <c r="AB265" s="17" t="str">
        <f>IF(OR(TEXT(AB$13,"ddd")="Sun",AB$13="",$D265=""),"",IF('Leave Planner'!Z266="",1,0))</f>
        <v/>
      </c>
      <c r="AC265" s="17" t="str">
        <f>IF(OR(TEXT(AC$13,"ddd")="Sun",AC$13="",$D265=""),"",IF('Leave Planner'!AA266="",1,0))</f>
        <v/>
      </c>
      <c r="AD265" s="17" t="str">
        <f>IF(OR(TEXT(AD$13,"ddd")="Sun",AD$13="",$D265=""),"",IF('Leave Planner'!AB266="",1,0))</f>
        <v/>
      </c>
      <c r="AE265" s="17" t="str">
        <f>IF(OR(TEXT(AE$13,"ddd")="Sun",AE$13="",$D265=""),"",IF('Leave Planner'!AC266="",1,0))</f>
        <v/>
      </c>
      <c r="AF265" s="17" t="str">
        <f>IF(OR(TEXT(AF$13,"ddd")="Sun",AF$13="",$D265=""),"",IF('Leave Planner'!AD266="",1,0))</f>
        <v/>
      </c>
      <c r="AG265" s="17" t="str">
        <f>IF(OR(TEXT(AG$13,"ddd")="Sun",AG$13="",$D265=""),"",IF('Leave Planner'!AE266="",1,0))</f>
        <v/>
      </c>
      <c r="AH265" s="17" t="str">
        <f>IF(OR(TEXT(AH$13,"ddd")="Sun",AH$13="",$D265=""),"",IF('Leave Planner'!AF266="",1,0))</f>
        <v/>
      </c>
      <c r="AI265" s="17" t="str">
        <f>IF(OR(TEXT(AI$13,"ddd")="Sun",AI$13="",$D265=""),"",IF('Leave Planner'!AG266="",1,0))</f>
        <v/>
      </c>
      <c r="AJ265" s="17" t="str">
        <f>IF(OR(TEXT(AJ$13,"ddd")="Sun",AJ$13="",$D265=""),"",IF('Leave Planner'!AH266="",1,0))</f>
        <v/>
      </c>
    </row>
    <row r="266" spans="2:36" x14ac:dyDescent="0.75">
      <c r="B266" s="15"/>
      <c r="C266" s="22"/>
      <c r="D266" s="22"/>
      <c r="E266" s="42" t="str">
        <f t="shared" si="8"/>
        <v/>
      </c>
      <c r="F266" s="17" t="str">
        <f>IF(OR(TEXT(F$13,"ddd")="Sun",F$13="",$D266=""),"",IF('Leave Planner'!D267="",1,0))</f>
        <v/>
      </c>
      <c r="G266" s="17" t="str">
        <f>IF(OR(TEXT(G$13,"ddd")="Sun",G$13="",$D266=""),"",IF('Leave Planner'!E267="",1,0))</f>
        <v/>
      </c>
      <c r="H266" s="17" t="str">
        <f>IF(OR(TEXT(H$13,"ddd")="Sun",H$13="",$D266=""),"",IF('Leave Planner'!F267="",1,0))</f>
        <v/>
      </c>
      <c r="I266" s="17" t="str">
        <f>IF(OR(TEXT(I$13,"ddd")="Sun",I$13="",$D266=""),"",IF('Leave Planner'!G267="",1,0))</f>
        <v/>
      </c>
      <c r="J266" s="17" t="str">
        <f>IF(OR(TEXT(J$13,"ddd")="Sun",J$13="",$D266=""),"",IF('Leave Planner'!H267="",1,0))</f>
        <v/>
      </c>
      <c r="K266" s="17" t="str">
        <f>IF(OR(TEXT(K$13,"ddd")="Sun",K$13="",$D266=""),"",IF('Leave Planner'!I267="",1,0))</f>
        <v/>
      </c>
      <c r="L266" s="17" t="str">
        <f>IF(OR(TEXT(L$13,"ddd")="Sun",L$13="",$D266=""),"",IF('Leave Planner'!J267="",1,0))</f>
        <v/>
      </c>
      <c r="M266" s="17" t="str">
        <f>IF(OR(TEXT(M$13,"ddd")="Sun",M$13="",$D266=""),"",IF('Leave Planner'!K267="",1,0))</f>
        <v/>
      </c>
      <c r="N266" s="17" t="str">
        <f>IF(OR(TEXT(N$13,"ddd")="Sun",N$13="",$D266=""),"",IF('Leave Planner'!L267="",1,0))</f>
        <v/>
      </c>
      <c r="O266" s="17" t="str">
        <f>IF(OR(TEXT(O$13,"ddd")="Sun",O$13="",$D266=""),"",IF('Leave Planner'!M267="",1,0))</f>
        <v/>
      </c>
      <c r="P266" s="17" t="str">
        <f>IF(OR(TEXT(P$13,"ddd")="Sun",P$13="",$D266=""),"",IF('Leave Planner'!N267="",1,0))</f>
        <v/>
      </c>
      <c r="Q266" s="17" t="str">
        <f>IF(OR(TEXT(Q$13,"ddd")="Sun",Q$13="",$D266=""),"",IF('Leave Planner'!O267="",1,0))</f>
        <v/>
      </c>
      <c r="R266" s="17" t="str">
        <f>IF(OR(TEXT(R$13,"ddd")="Sun",R$13="",$D266=""),"",IF('Leave Planner'!P267="",1,0))</f>
        <v/>
      </c>
      <c r="S266" s="17" t="str">
        <f>IF(OR(TEXT(S$13,"ddd")="Sun",S$13="",$D266=""),"",IF('Leave Planner'!Q267="",1,0))</f>
        <v/>
      </c>
      <c r="T266" s="17" t="str">
        <f>IF(OR(TEXT(T$13,"ddd")="Sun",T$13="",$D266=""),"",IF('Leave Planner'!R267="",1,0))</f>
        <v/>
      </c>
      <c r="U266" s="17" t="str">
        <f>IF(OR(TEXT(U$13,"ddd")="Sun",U$13="",$D266=""),"",IF('Leave Planner'!S267="",1,0))</f>
        <v/>
      </c>
      <c r="V266" s="17" t="str">
        <f>IF(OR(TEXT(V$13,"ddd")="Sun",V$13="",$D266=""),"",IF('Leave Planner'!T267="",1,0))</f>
        <v/>
      </c>
      <c r="W266" s="17" t="str">
        <f>IF(OR(TEXT(W$13,"ddd")="Sun",W$13="",$D266=""),"",IF('Leave Planner'!U267="",1,0))</f>
        <v/>
      </c>
      <c r="X266" s="17" t="str">
        <f>IF(OR(TEXT(X$13,"ddd")="Sun",X$13="",$D266=""),"",IF('Leave Planner'!V267="",1,0))</f>
        <v/>
      </c>
      <c r="Y266" s="17" t="str">
        <f>IF(OR(TEXT(Y$13,"ddd")="Sun",Y$13="",$D266=""),"",IF('Leave Planner'!W267="",1,0))</f>
        <v/>
      </c>
      <c r="Z266" s="17" t="str">
        <f>IF(OR(TEXT(Z$13,"ddd")="Sun",Z$13="",$D266=""),"",IF('Leave Planner'!X267="",1,0))</f>
        <v/>
      </c>
      <c r="AA266" s="17" t="str">
        <f>IF(OR(TEXT(AA$13,"ddd")="Sun",AA$13="",$D266=""),"",IF('Leave Planner'!Y267="",1,0))</f>
        <v/>
      </c>
      <c r="AB266" s="17" t="str">
        <f>IF(OR(TEXT(AB$13,"ddd")="Sun",AB$13="",$D266=""),"",IF('Leave Planner'!Z267="",1,0))</f>
        <v/>
      </c>
      <c r="AC266" s="17" t="str">
        <f>IF(OR(TEXT(AC$13,"ddd")="Sun",AC$13="",$D266=""),"",IF('Leave Planner'!AA267="",1,0))</f>
        <v/>
      </c>
      <c r="AD266" s="17" t="str">
        <f>IF(OR(TEXT(AD$13,"ddd")="Sun",AD$13="",$D266=""),"",IF('Leave Planner'!AB267="",1,0))</f>
        <v/>
      </c>
      <c r="AE266" s="17" t="str">
        <f>IF(OR(TEXT(AE$13,"ddd")="Sun",AE$13="",$D266=""),"",IF('Leave Planner'!AC267="",1,0))</f>
        <v/>
      </c>
      <c r="AF266" s="17" t="str">
        <f>IF(OR(TEXT(AF$13,"ddd")="Sun",AF$13="",$D266=""),"",IF('Leave Planner'!AD267="",1,0))</f>
        <v/>
      </c>
      <c r="AG266" s="17" t="str">
        <f>IF(OR(TEXT(AG$13,"ddd")="Sun",AG$13="",$D266=""),"",IF('Leave Planner'!AE267="",1,0))</f>
        <v/>
      </c>
      <c r="AH266" s="17" t="str">
        <f>IF(OR(TEXT(AH$13,"ddd")="Sun",AH$13="",$D266=""),"",IF('Leave Planner'!AF267="",1,0))</f>
        <v/>
      </c>
      <c r="AI266" s="17" t="str">
        <f>IF(OR(TEXT(AI$13,"ddd")="Sun",AI$13="",$D266=""),"",IF('Leave Planner'!AG267="",1,0))</f>
        <v/>
      </c>
      <c r="AJ266" s="17" t="str">
        <f>IF(OR(TEXT(AJ$13,"ddd")="Sun",AJ$13="",$D266=""),"",IF('Leave Planner'!AH267="",1,0))</f>
        <v/>
      </c>
    </row>
    <row r="267" spans="2:36" x14ac:dyDescent="0.75">
      <c r="B267" s="15"/>
      <c r="C267" s="22"/>
      <c r="D267" s="22"/>
      <c r="E267" s="42" t="str">
        <f t="shared" si="8"/>
        <v/>
      </c>
      <c r="F267" s="17" t="str">
        <f>IF(OR(TEXT(F$13,"ddd")="Sun",F$13="",$D267=""),"",IF('Leave Planner'!D268="",1,0))</f>
        <v/>
      </c>
      <c r="G267" s="17" t="str">
        <f>IF(OR(TEXT(G$13,"ddd")="Sun",G$13="",$D267=""),"",IF('Leave Planner'!E268="",1,0))</f>
        <v/>
      </c>
      <c r="H267" s="17" t="str">
        <f>IF(OR(TEXT(H$13,"ddd")="Sun",H$13="",$D267=""),"",IF('Leave Planner'!F268="",1,0))</f>
        <v/>
      </c>
      <c r="I267" s="17" t="str">
        <f>IF(OR(TEXT(I$13,"ddd")="Sun",I$13="",$D267=""),"",IF('Leave Planner'!G268="",1,0))</f>
        <v/>
      </c>
      <c r="J267" s="17" t="str">
        <f>IF(OR(TEXT(J$13,"ddd")="Sun",J$13="",$D267=""),"",IF('Leave Planner'!H268="",1,0))</f>
        <v/>
      </c>
      <c r="K267" s="17" t="str">
        <f>IF(OR(TEXT(K$13,"ddd")="Sun",K$13="",$D267=""),"",IF('Leave Planner'!I268="",1,0))</f>
        <v/>
      </c>
      <c r="L267" s="17" t="str">
        <f>IF(OR(TEXT(L$13,"ddd")="Sun",L$13="",$D267=""),"",IF('Leave Planner'!J268="",1,0))</f>
        <v/>
      </c>
      <c r="M267" s="17" t="str">
        <f>IF(OR(TEXT(M$13,"ddd")="Sun",M$13="",$D267=""),"",IF('Leave Planner'!K268="",1,0))</f>
        <v/>
      </c>
      <c r="N267" s="17" t="str">
        <f>IF(OR(TEXT(N$13,"ddd")="Sun",N$13="",$D267=""),"",IF('Leave Planner'!L268="",1,0))</f>
        <v/>
      </c>
      <c r="O267" s="17" t="str">
        <f>IF(OR(TEXT(O$13,"ddd")="Sun",O$13="",$D267=""),"",IF('Leave Planner'!M268="",1,0))</f>
        <v/>
      </c>
      <c r="P267" s="17" t="str">
        <f>IF(OR(TEXT(P$13,"ddd")="Sun",P$13="",$D267=""),"",IF('Leave Planner'!N268="",1,0))</f>
        <v/>
      </c>
      <c r="Q267" s="17" t="str">
        <f>IF(OR(TEXT(Q$13,"ddd")="Sun",Q$13="",$D267=""),"",IF('Leave Planner'!O268="",1,0))</f>
        <v/>
      </c>
      <c r="R267" s="17" t="str">
        <f>IF(OR(TEXT(R$13,"ddd")="Sun",R$13="",$D267=""),"",IF('Leave Planner'!P268="",1,0))</f>
        <v/>
      </c>
      <c r="S267" s="17" t="str">
        <f>IF(OR(TEXT(S$13,"ddd")="Sun",S$13="",$D267=""),"",IF('Leave Planner'!Q268="",1,0))</f>
        <v/>
      </c>
      <c r="T267" s="17" t="str">
        <f>IF(OR(TEXT(T$13,"ddd")="Sun",T$13="",$D267=""),"",IF('Leave Planner'!R268="",1,0))</f>
        <v/>
      </c>
      <c r="U267" s="17" t="str">
        <f>IF(OR(TEXT(U$13,"ddd")="Sun",U$13="",$D267=""),"",IF('Leave Planner'!S268="",1,0))</f>
        <v/>
      </c>
      <c r="V267" s="17" t="str">
        <f>IF(OR(TEXT(V$13,"ddd")="Sun",V$13="",$D267=""),"",IF('Leave Planner'!T268="",1,0))</f>
        <v/>
      </c>
      <c r="W267" s="17" t="str">
        <f>IF(OR(TEXT(W$13,"ddd")="Sun",W$13="",$D267=""),"",IF('Leave Planner'!U268="",1,0))</f>
        <v/>
      </c>
      <c r="X267" s="17" t="str">
        <f>IF(OR(TEXT(X$13,"ddd")="Sun",X$13="",$D267=""),"",IF('Leave Planner'!V268="",1,0))</f>
        <v/>
      </c>
      <c r="Y267" s="17" t="str">
        <f>IF(OR(TEXT(Y$13,"ddd")="Sun",Y$13="",$D267=""),"",IF('Leave Planner'!W268="",1,0))</f>
        <v/>
      </c>
      <c r="Z267" s="17" t="str">
        <f>IF(OR(TEXT(Z$13,"ddd")="Sun",Z$13="",$D267=""),"",IF('Leave Planner'!X268="",1,0))</f>
        <v/>
      </c>
      <c r="AA267" s="17" t="str">
        <f>IF(OR(TEXT(AA$13,"ddd")="Sun",AA$13="",$D267=""),"",IF('Leave Planner'!Y268="",1,0))</f>
        <v/>
      </c>
      <c r="AB267" s="17" t="str">
        <f>IF(OR(TEXT(AB$13,"ddd")="Sun",AB$13="",$D267=""),"",IF('Leave Planner'!Z268="",1,0))</f>
        <v/>
      </c>
      <c r="AC267" s="17" t="str">
        <f>IF(OR(TEXT(AC$13,"ddd")="Sun",AC$13="",$D267=""),"",IF('Leave Planner'!AA268="",1,0))</f>
        <v/>
      </c>
      <c r="AD267" s="17" t="str">
        <f>IF(OR(TEXT(AD$13,"ddd")="Sun",AD$13="",$D267=""),"",IF('Leave Planner'!AB268="",1,0))</f>
        <v/>
      </c>
      <c r="AE267" s="17" t="str">
        <f>IF(OR(TEXT(AE$13,"ddd")="Sun",AE$13="",$D267=""),"",IF('Leave Planner'!AC268="",1,0))</f>
        <v/>
      </c>
      <c r="AF267" s="17" t="str">
        <f>IF(OR(TEXT(AF$13,"ddd")="Sun",AF$13="",$D267=""),"",IF('Leave Planner'!AD268="",1,0))</f>
        <v/>
      </c>
      <c r="AG267" s="17" t="str">
        <f>IF(OR(TEXT(AG$13,"ddd")="Sun",AG$13="",$D267=""),"",IF('Leave Planner'!AE268="",1,0))</f>
        <v/>
      </c>
      <c r="AH267" s="17" t="str">
        <f>IF(OR(TEXT(AH$13,"ddd")="Sun",AH$13="",$D267=""),"",IF('Leave Planner'!AF268="",1,0))</f>
        <v/>
      </c>
      <c r="AI267" s="17" t="str">
        <f>IF(OR(TEXT(AI$13,"ddd")="Sun",AI$13="",$D267=""),"",IF('Leave Planner'!AG268="",1,0))</f>
        <v/>
      </c>
      <c r="AJ267" s="17" t="str">
        <f>IF(OR(TEXT(AJ$13,"ddd")="Sun",AJ$13="",$D267=""),"",IF('Leave Planner'!AH268="",1,0))</f>
        <v/>
      </c>
    </row>
    <row r="268" spans="2:36" x14ac:dyDescent="0.75">
      <c r="B268" s="15"/>
      <c r="C268" s="22"/>
      <c r="D268" s="22"/>
      <c r="E268" s="42" t="str">
        <f t="shared" si="8"/>
        <v/>
      </c>
      <c r="F268" s="17" t="str">
        <f>IF(OR(TEXT(F$13,"ddd")="Sun",F$13="",$D268=""),"",IF('Leave Planner'!D269="",1,0))</f>
        <v/>
      </c>
      <c r="G268" s="17" t="str">
        <f>IF(OR(TEXT(G$13,"ddd")="Sun",G$13="",$D268=""),"",IF('Leave Planner'!E269="",1,0))</f>
        <v/>
      </c>
      <c r="H268" s="17" t="str">
        <f>IF(OR(TEXT(H$13,"ddd")="Sun",H$13="",$D268=""),"",IF('Leave Planner'!F269="",1,0))</f>
        <v/>
      </c>
      <c r="I268" s="17" t="str">
        <f>IF(OR(TEXT(I$13,"ddd")="Sun",I$13="",$D268=""),"",IF('Leave Planner'!G269="",1,0))</f>
        <v/>
      </c>
      <c r="J268" s="17" t="str">
        <f>IF(OR(TEXT(J$13,"ddd")="Sun",J$13="",$D268=""),"",IF('Leave Planner'!H269="",1,0))</f>
        <v/>
      </c>
      <c r="K268" s="17" t="str">
        <f>IF(OR(TEXT(K$13,"ddd")="Sun",K$13="",$D268=""),"",IF('Leave Planner'!I269="",1,0))</f>
        <v/>
      </c>
      <c r="L268" s="17" t="str">
        <f>IF(OR(TEXT(L$13,"ddd")="Sun",L$13="",$D268=""),"",IF('Leave Planner'!J269="",1,0))</f>
        <v/>
      </c>
      <c r="M268" s="17" t="str">
        <f>IF(OR(TEXT(M$13,"ddd")="Sun",M$13="",$D268=""),"",IF('Leave Planner'!K269="",1,0))</f>
        <v/>
      </c>
      <c r="N268" s="17" t="str">
        <f>IF(OR(TEXT(N$13,"ddd")="Sun",N$13="",$D268=""),"",IF('Leave Planner'!L269="",1,0))</f>
        <v/>
      </c>
      <c r="O268" s="17" t="str">
        <f>IF(OR(TEXT(O$13,"ddd")="Sun",O$13="",$D268=""),"",IF('Leave Planner'!M269="",1,0))</f>
        <v/>
      </c>
      <c r="P268" s="17" t="str">
        <f>IF(OR(TEXT(P$13,"ddd")="Sun",P$13="",$D268=""),"",IF('Leave Planner'!N269="",1,0))</f>
        <v/>
      </c>
      <c r="Q268" s="17" t="str">
        <f>IF(OR(TEXT(Q$13,"ddd")="Sun",Q$13="",$D268=""),"",IF('Leave Planner'!O269="",1,0))</f>
        <v/>
      </c>
      <c r="R268" s="17" t="str">
        <f>IF(OR(TEXT(R$13,"ddd")="Sun",R$13="",$D268=""),"",IF('Leave Planner'!P269="",1,0))</f>
        <v/>
      </c>
      <c r="S268" s="17" t="str">
        <f>IF(OR(TEXT(S$13,"ddd")="Sun",S$13="",$D268=""),"",IF('Leave Planner'!Q269="",1,0))</f>
        <v/>
      </c>
      <c r="T268" s="17" t="str">
        <f>IF(OR(TEXT(T$13,"ddd")="Sun",T$13="",$D268=""),"",IF('Leave Planner'!R269="",1,0))</f>
        <v/>
      </c>
      <c r="U268" s="17" t="str">
        <f>IF(OR(TEXT(U$13,"ddd")="Sun",U$13="",$D268=""),"",IF('Leave Planner'!S269="",1,0))</f>
        <v/>
      </c>
      <c r="V268" s="17" t="str">
        <f>IF(OR(TEXT(V$13,"ddd")="Sun",V$13="",$D268=""),"",IF('Leave Planner'!T269="",1,0))</f>
        <v/>
      </c>
      <c r="W268" s="17" t="str">
        <f>IF(OR(TEXT(W$13,"ddd")="Sun",W$13="",$D268=""),"",IF('Leave Planner'!U269="",1,0))</f>
        <v/>
      </c>
      <c r="X268" s="17" t="str">
        <f>IF(OR(TEXT(X$13,"ddd")="Sun",X$13="",$D268=""),"",IF('Leave Planner'!V269="",1,0))</f>
        <v/>
      </c>
      <c r="Y268" s="17" t="str">
        <f>IF(OR(TEXT(Y$13,"ddd")="Sun",Y$13="",$D268=""),"",IF('Leave Planner'!W269="",1,0))</f>
        <v/>
      </c>
      <c r="Z268" s="17" t="str">
        <f>IF(OR(TEXT(Z$13,"ddd")="Sun",Z$13="",$D268=""),"",IF('Leave Planner'!X269="",1,0))</f>
        <v/>
      </c>
      <c r="AA268" s="17" t="str">
        <f>IF(OR(TEXT(AA$13,"ddd")="Sun",AA$13="",$D268=""),"",IF('Leave Planner'!Y269="",1,0))</f>
        <v/>
      </c>
      <c r="AB268" s="17" t="str">
        <f>IF(OR(TEXT(AB$13,"ddd")="Sun",AB$13="",$D268=""),"",IF('Leave Planner'!Z269="",1,0))</f>
        <v/>
      </c>
      <c r="AC268" s="17" t="str">
        <f>IF(OR(TEXT(AC$13,"ddd")="Sun",AC$13="",$D268=""),"",IF('Leave Planner'!AA269="",1,0))</f>
        <v/>
      </c>
      <c r="AD268" s="17" t="str">
        <f>IF(OR(TEXT(AD$13,"ddd")="Sun",AD$13="",$D268=""),"",IF('Leave Planner'!AB269="",1,0))</f>
        <v/>
      </c>
      <c r="AE268" s="17" t="str">
        <f>IF(OR(TEXT(AE$13,"ddd")="Sun",AE$13="",$D268=""),"",IF('Leave Planner'!AC269="",1,0))</f>
        <v/>
      </c>
      <c r="AF268" s="17" t="str">
        <f>IF(OR(TEXT(AF$13,"ddd")="Sun",AF$13="",$D268=""),"",IF('Leave Planner'!AD269="",1,0))</f>
        <v/>
      </c>
      <c r="AG268" s="17" t="str">
        <f>IF(OR(TEXT(AG$13,"ddd")="Sun",AG$13="",$D268=""),"",IF('Leave Planner'!AE269="",1,0))</f>
        <v/>
      </c>
      <c r="AH268" s="17" t="str">
        <f>IF(OR(TEXT(AH$13,"ddd")="Sun",AH$13="",$D268=""),"",IF('Leave Planner'!AF269="",1,0))</f>
        <v/>
      </c>
      <c r="AI268" s="17" t="str">
        <f>IF(OR(TEXT(AI$13,"ddd")="Sun",AI$13="",$D268=""),"",IF('Leave Planner'!AG269="",1,0))</f>
        <v/>
      </c>
      <c r="AJ268" s="17" t="str">
        <f>IF(OR(TEXT(AJ$13,"ddd")="Sun",AJ$13="",$D268=""),"",IF('Leave Planner'!AH269="",1,0))</f>
        <v/>
      </c>
    </row>
    <row r="269" spans="2:36" x14ac:dyDescent="0.75">
      <c r="B269" s="15"/>
      <c r="C269" s="22"/>
      <c r="D269" s="22"/>
      <c r="E269" s="42" t="str">
        <f t="shared" si="8"/>
        <v/>
      </c>
      <c r="F269" s="17" t="str">
        <f>IF(OR(TEXT(F$13,"ddd")="Sun",F$13="",$D269=""),"",IF('Leave Planner'!D270="",1,0))</f>
        <v/>
      </c>
      <c r="G269" s="17" t="str">
        <f>IF(OR(TEXT(G$13,"ddd")="Sun",G$13="",$D269=""),"",IF('Leave Planner'!E270="",1,0))</f>
        <v/>
      </c>
      <c r="H269" s="17" t="str">
        <f>IF(OR(TEXT(H$13,"ddd")="Sun",H$13="",$D269=""),"",IF('Leave Planner'!F270="",1,0))</f>
        <v/>
      </c>
      <c r="I269" s="17" t="str">
        <f>IF(OR(TEXT(I$13,"ddd")="Sun",I$13="",$D269=""),"",IF('Leave Planner'!G270="",1,0))</f>
        <v/>
      </c>
      <c r="J269" s="17" t="str">
        <f>IF(OR(TEXT(J$13,"ddd")="Sun",J$13="",$D269=""),"",IF('Leave Planner'!H270="",1,0))</f>
        <v/>
      </c>
      <c r="K269" s="17" t="str">
        <f>IF(OR(TEXT(K$13,"ddd")="Sun",K$13="",$D269=""),"",IF('Leave Planner'!I270="",1,0))</f>
        <v/>
      </c>
      <c r="L269" s="17" t="str">
        <f>IF(OR(TEXT(L$13,"ddd")="Sun",L$13="",$D269=""),"",IF('Leave Planner'!J270="",1,0))</f>
        <v/>
      </c>
      <c r="M269" s="17" t="str">
        <f>IF(OR(TEXT(M$13,"ddd")="Sun",M$13="",$D269=""),"",IF('Leave Planner'!K270="",1,0))</f>
        <v/>
      </c>
      <c r="N269" s="17" t="str">
        <f>IF(OR(TEXT(N$13,"ddd")="Sun",N$13="",$D269=""),"",IF('Leave Planner'!L270="",1,0))</f>
        <v/>
      </c>
      <c r="O269" s="17" t="str">
        <f>IF(OR(TEXT(O$13,"ddd")="Sun",O$13="",$D269=""),"",IF('Leave Planner'!M270="",1,0))</f>
        <v/>
      </c>
      <c r="P269" s="17" t="str">
        <f>IF(OR(TEXT(P$13,"ddd")="Sun",P$13="",$D269=""),"",IF('Leave Planner'!N270="",1,0))</f>
        <v/>
      </c>
      <c r="Q269" s="17" t="str">
        <f>IF(OR(TEXT(Q$13,"ddd")="Sun",Q$13="",$D269=""),"",IF('Leave Planner'!O270="",1,0))</f>
        <v/>
      </c>
      <c r="R269" s="17" t="str">
        <f>IF(OR(TEXT(R$13,"ddd")="Sun",R$13="",$D269=""),"",IF('Leave Planner'!P270="",1,0))</f>
        <v/>
      </c>
      <c r="S269" s="17" t="str">
        <f>IF(OR(TEXT(S$13,"ddd")="Sun",S$13="",$D269=""),"",IF('Leave Planner'!Q270="",1,0))</f>
        <v/>
      </c>
      <c r="T269" s="17" t="str">
        <f>IF(OR(TEXT(T$13,"ddd")="Sun",T$13="",$D269=""),"",IF('Leave Planner'!R270="",1,0))</f>
        <v/>
      </c>
      <c r="U269" s="17" t="str">
        <f>IF(OR(TEXT(U$13,"ddd")="Sun",U$13="",$D269=""),"",IF('Leave Planner'!S270="",1,0))</f>
        <v/>
      </c>
      <c r="V269" s="17" t="str">
        <f>IF(OR(TEXT(V$13,"ddd")="Sun",V$13="",$D269=""),"",IF('Leave Planner'!T270="",1,0))</f>
        <v/>
      </c>
      <c r="W269" s="17" t="str">
        <f>IF(OR(TEXT(W$13,"ddd")="Sun",W$13="",$D269=""),"",IF('Leave Planner'!U270="",1,0))</f>
        <v/>
      </c>
      <c r="X269" s="17" t="str">
        <f>IF(OR(TEXT(X$13,"ddd")="Sun",X$13="",$D269=""),"",IF('Leave Planner'!V270="",1,0))</f>
        <v/>
      </c>
      <c r="Y269" s="17" t="str">
        <f>IF(OR(TEXT(Y$13,"ddd")="Sun",Y$13="",$D269=""),"",IF('Leave Planner'!W270="",1,0))</f>
        <v/>
      </c>
      <c r="Z269" s="17" t="str">
        <f>IF(OR(TEXT(Z$13,"ddd")="Sun",Z$13="",$D269=""),"",IF('Leave Planner'!X270="",1,0))</f>
        <v/>
      </c>
      <c r="AA269" s="17" t="str">
        <f>IF(OR(TEXT(AA$13,"ddd")="Sun",AA$13="",$D269=""),"",IF('Leave Planner'!Y270="",1,0))</f>
        <v/>
      </c>
      <c r="AB269" s="17" t="str">
        <f>IF(OR(TEXT(AB$13,"ddd")="Sun",AB$13="",$D269=""),"",IF('Leave Planner'!Z270="",1,0))</f>
        <v/>
      </c>
      <c r="AC269" s="17" t="str">
        <f>IF(OR(TEXT(AC$13,"ddd")="Sun",AC$13="",$D269=""),"",IF('Leave Planner'!AA270="",1,0))</f>
        <v/>
      </c>
      <c r="AD269" s="17" t="str">
        <f>IF(OR(TEXT(AD$13,"ddd")="Sun",AD$13="",$D269=""),"",IF('Leave Planner'!AB270="",1,0))</f>
        <v/>
      </c>
      <c r="AE269" s="17" t="str">
        <f>IF(OR(TEXT(AE$13,"ddd")="Sun",AE$13="",$D269=""),"",IF('Leave Planner'!AC270="",1,0))</f>
        <v/>
      </c>
      <c r="AF269" s="17" t="str">
        <f>IF(OR(TEXT(AF$13,"ddd")="Sun",AF$13="",$D269=""),"",IF('Leave Planner'!AD270="",1,0))</f>
        <v/>
      </c>
      <c r="AG269" s="17" t="str">
        <f>IF(OR(TEXT(AG$13,"ddd")="Sun",AG$13="",$D269=""),"",IF('Leave Planner'!AE270="",1,0))</f>
        <v/>
      </c>
      <c r="AH269" s="17" t="str">
        <f>IF(OR(TEXT(AH$13,"ddd")="Sun",AH$13="",$D269=""),"",IF('Leave Planner'!AF270="",1,0))</f>
        <v/>
      </c>
      <c r="AI269" s="17" t="str">
        <f>IF(OR(TEXT(AI$13,"ddd")="Sun",AI$13="",$D269=""),"",IF('Leave Planner'!AG270="",1,0))</f>
        <v/>
      </c>
      <c r="AJ269" s="17" t="str">
        <f>IF(OR(TEXT(AJ$13,"ddd")="Sun",AJ$13="",$D269=""),"",IF('Leave Planner'!AH270="",1,0))</f>
        <v/>
      </c>
    </row>
    <row r="270" spans="2:36" x14ac:dyDescent="0.75">
      <c r="B270" s="15"/>
      <c r="C270" s="22"/>
      <c r="D270" s="22"/>
      <c r="E270" s="42" t="str">
        <f t="shared" si="8"/>
        <v/>
      </c>
      <c r="F270" s="17" t="str">
        <f>IF(OR(TEXT(F$13,"ddd")="Sun",F$13="",$D270=""),"",IF('Leave Planner'!D271="",1,0))</f>
        <v/>
      </c>
      <c r="G270" s="17" t="str">
        <f>IF(OR(TEXT(G$13,"ddd")="Sun",G$13="",$D270=""),"",IF('Leave Planner'!E271="",1,0))</f>
        <v/>
      </c>
      <c r="H270" s="17" t="str">
        <f>IF(OR(TEXT(H$13,"ddd")="Sun",H$13="",$D270=""),"",IF('Leave Planner'!F271="",1,0))</f>
        <v/>
      </c>
      <c r="I270" s="17" t="str">
        <f>IF(OR(TEXT(I$13,"ddd")="Sun",I$13="",$D270=""),"",IF('Leave Planner'!G271="",1,0))</f>
        <v/>
      </c>
      <c r="J270" s="17" t="str">
        <f>IF(OR(TEXT(J$13,"ddd")="Sun",J$13="",$D270=""),"",IF('Leave Planner'!H271="",1,0))</f>
        <v/>
      </c>
      <c r="K270" s="17" t="str">
        <f>IF(OR(TEXT(K$13,"ddd")="Sun",K$13="",$D270=""),"",IF('Leave Planner'!I271="",1,0))</f>
        <v/>
      </c>
      <c r="L270" s="17" t="str">
        <f>IF(OR(TEXT(L$13,"ddd")="Sun",L$13="",$D270=""),"",IF('Leave Planner'!J271="",1,0))</f>
        <v/>
      </c>
      <c r="M270" s="17" t="str">
        <f>IF(OR(TEXT(M$13,"ddd")="Sun",M$13="",$D270=""),"",IF('Leave Planner'!K271="",1,0))</f>
        <v/>
      </c>
      <c r="N270" s="17" t="str">
        <f>IF(OR(TEXT(N$13,"ddd")="Sun",N$13="",$D270=""),"",IF('Leave Planner'!L271="",1,0))</f>
        <v/>
      </c>
      <c r="O270" s="17" t="str">
        <f>IF(OR(TEXT(O$13,"ddd")="Sun",O$13="",$D270=""),"",IF('Leave Planner'!M271="",1,0))</f>
        <v/>
      </c>
      <c r="P270" s="17" t="str">
        <f>IF(OR(TEXT(P$13,"ddd")="Sun",P$13="",$D270=""),"",IF('Leave Planner'!N271="",1,0))</f>
        <v/>
      </c>
      <c r="Q270" s="17" t="str">
        <f>IF(OR(TEXT(Q$13,"ddd")="Sun",Q$13="",$D270=""),"",IF('Leave Planner'!O271="",1,0))</f>
        <v/>
      </c>
      <c r="R270" s="17" t="str">
        <f>IF(OR(TEXT(R$13,"ddd")="Sun",R$13="",$D270=""),"",IF('Leave Planner'!P271="",1,0))</f>
        <v/>
      </c>
      <c r="S270" s="17" t="str">
        <f>IF(OR(TEXT(S$13,"ddd")="Sun",S$13="",$D270=""),"",IF('Leave Planner'!Q271="",1,0))</f>
        <v/>
      </c>
      <c r="T270" s="17" t="str">
        <f>IF(OR(TEXT(T$13,"ddd")="Sun",T$13="",$D270=""),"",IF('Leave Planner'!R271="",1,0))</f>
        <v/>
      </c>
      <c r="U270" s="17" t="str">
        <f>IF(OR(TEXT(U$13,"ddd")="Sun",U$13="",$D270=""),"",IF('Leave Planner'!S271="",1,0))</f>
        <v/>
      </c>
      <c r="V270" s="17" t="str">
        <f>IF(OR(TEXT(V$13,"ddd")="Sun",V$13="",$D270=""),"",IF('Leave Planner'!T271="",1,0))</f>
        <v/>
      </c>
      <c r="W270" s="17" t="str">
        <f>IF(OR(TEXT(W$13,"ddd")="Sun",W$13="",$D270=""),"",IF('Leave Planner'!U271="",1,0))</f>
        <v/>
      </c>
      <c r="X270" s="17" t="str">
        <f>IF(OR(TEXT(X$13,"ddd")="Sun",X$13="",$D270=""),"",IF('Leave Planner'!V271="",1,0))</f>
        <v/>
      </c>
      <c r="Y270" s="17" t="str">
        <f>IF(OR(TEXT(Y$13,"ddd")="Sun",Y$13="",$D270=""),"",IF('Leave Planner'!W271="",1,0))</f>
        <v/>
      </c>
      <c r="Z270" s="17" t="str">
        <f>IF(OR(TEXT(Z$13,"ddd")="Sun",Z$13="",$D270=""),"",IF('Leave Planner'!X271="",1,0))</f>
        <v/>
      </c>
      <c r="AA270" s="17" t="str">
        <f>IF(OR(TEXT(AA$13,"ddd")="Sun",AA$13="",$D270=""),"",IF('Leave Planner'!Y271="",1,0))</f>
        <v/>
      </c>
      <c r="AB270" s="17" t="str">
        <f>IF(OR(TEXT(AB$13,"ddd")="Sun",AB$13="",$D270=""),"",IF('Leave Planner'!Z271="",1,0))</f>
        <v/>
      </c>
      <c r="AC270" s="17" t="str">
        <f>IF(OR(TEXT(AC$13,"ddd")="Sun",AC$13="",$D270=""),"",IF('Leave Planner'!AA271="",1,0))</f>
        <v/>
      </c>
      <c r="AD270" s="17" t="str">
        <f>IF(OR(TEXT(AD$13,"ddd")="Sun",AD$13="",$D270=""),"",IF('Leave Planner'!AB271="",1,0))</f>
        <v/>
      </c>
      <c r="AE270" s="17" t="str">
        <f>IF(OR(TEXT(AE$13,"ddd")="Sun",AE$13="",$D270=""),"",IF('Leave Planner'!AC271="",1,0))</f>
        <v/>
      </c>
      <c r="AF270" s="17" t="str">
        <f>IF(OR(TEXT(AF$13,"ddd")="Sun",AF$13="",$D270=""),"",IF('Leave Planner'!AD271="",1,0))</f>
        <v/>
      </c>
      <c r="AG270" s="17" t="str">
        <f>IF(OR(TEXT(AG$13,"ddd")="Sun",AG$13="",$D270=""),"",IF('Leave Planner'!AE271="",1,0))</f>
        <v/>
      </c>
      <c r="AH270" s="17" t="str">
        <f>IF(OR(TEXT(AH$13,"ddd")="Sun",AH$13="",$D270=""),"",IF('Leave Planner'!AF271="",1,0))</f>
        <v/>
      </c>
      <c r="AI270" s="17" t="str">
        <f>IF(OR(TEXT(AI$13,"ddd")="Sun",AI$13="",$D270=""),"",IF('Leave Planner'!AG271="",1,0))</f>
        <v/>
      </c>
      <c r="AJ270" s="17" t="str">
        <f>IF(OR(TEXT(AJ$13,"ddd")="Sun",AJ$13="",$D270=""),"",IF('Leave Planner'!AH271="",1,0))</f>
        <v/>
      </c>
    </row>
    <row r="271" spans="2:36" x14ac:dyDescent="0.75">
      <c r="B271" s="15"/>
      <c r="C271" s="22"/>
      <c r="D271" s="22"/>
      <c r="E271" s="42" t="str">
        <f t="shared" ref="E271:E300" si="9">IF(D271="","",COUNTIF(F271:AJ271,1))</f>
        <v/>
      </c>
      <c r="F271" s="17" t="str">
        <f>IF(OR(TEXT(F$13,"ddd")="Sun",F$13="",$D271=""),"",IF('Leave Planner'!D272="",1,0))</f>
        <v/>
      </c>
      <c r="G271" s="17" t="str">
        <f>IF(OR(TEXT(G$13,"ddd")="Sun",G$13="",$D271=""),"",IF('Leave Planner'!E272="",1,0))</f>
        <v/>
      </c>
      <c r="H271" s="17" t="str">
        <f>IF(OR(TEXT(H$13,"ddd")="Sun",H$13="",$D271=""),"",IF('Leave Planner'!F272="",1,0))</f>
        <v/>
      </c>
      <c r="I271" s="17" t="str">
        <f>IF(OR(TEXT(I$13,"ddd")="Sun",I$13="",$D271=""),"",IF('Leave Planner'!G272="",1,0))</f>
        <v/>
      </c>
      <c r="J271" s="17" t="str">
        <f>IF(OR(TEXT(J$13,"ddd")="Sun",J$13="",$D271=""),"",IF('Leave Planner'!H272="",1,0))</f>
        <v/>
      </c>
      <c r="K271" s="17" t="str">
        <f>IF(OR(TEXT(K$13,"ddd")="Sun",K$13="",$D271=""),"",IF('Leave Planner'!I272="",1,0))</f>
        <v/>
      </c>
      <c r="L271" s="17" t="str">
        <f>IF(OR(TEXT(L$13,"ddd")="Sun",L$13="",$D271=""),"",IF('Leave Planner'!J272="",1,0))</f>
        <v/>
      </c>
      <c r="M271" s="17" t="str">
        <f>IF(OR(TEXT(M$13,"ddd")="Sun",M$13="",$D271=""),"",IF('Leave Planner'!K272="",1,0))</f>
        <v/>
      </c>
      <c r="N271" s="17" t="str">
        <f>IF(OR(TEXT(N$13,"ddd")="Sun",N$13="",$D271=""),"",IF('Leave Planner'!L272="",1,0))</f>
        <v/>
      </c>
      <c r="O271" s="17" t="str">
        <f>IF(OR(TEXT(O$13,"ddd")="Sun",O$13="",$D271=""),"",IF('Leave Planner'!M272="",1,0))</f>
        <v/>
      </c>
      <c r="P271" s="17" t="str">
        <f>IF(OR(TEXT(P$13,"ddd")="Sun",P$13="",$D271=""),"",IF('Leave Planner'!N272="",1,0))</f>
        <v/>
      </c>
      <c r="Q271" s="17" t="str">
        <f>IF(OR(TEXT(Q$13,"ddd")="Sun",Q$13="",$D271=""),"",IF('Leave Planner'!O272="",1,0))</f>
        <v/>
      </c>
      <c r="R271" s="17" t="str">
        <f>IF(OR(TEXT(R$13,"ddd")="Sun",R$13="",$D271=""),"",IF('Leave Planner'!P272="",1,0))</f>
        <v/>
      </c>
      <c r="S271" s="17" t="str">
        <f>IF(OR(TEXT(S$13,"ddd")="Sun",S$13="",$D271=""),"",IF('Leave Planner'!Q272="",1,0))</f>
        <v/>
      </c>
      <c r="T271" s="17" t="str">
        <f>IF(OR(TEXT(T$13,"ddd")="Sun",T$13="",$D271=""),"",IF('Leave Planner'!R272="",1,0))</f>
        <v/>
      </c>
      <c r="U271" s="17" t="str">
        <f>IF(OR(TEXT(U$13,"ddd")="Sun",U$13="",$D271=""),"",IF('Leave Planner'!S272="",1,0))</f>
        <v/>
      </c>
      <c r="V271" s="17" t="str">
        <f>IF(OR(TEXT(V$13,"ddd")="Sun",V$13="",$D271=""),"",IF('Leave Planner'!T272="",1,0))</f>
        <v/>
      </c>
      <c r="W271" s="17" t="str">
        <f>IF(OR(TEXT(W$13,"ddd")="Sun",W$13="",$D271=""),"",IF('Leave Planner'!U272="",1,0))</f>
        <v/>
      </c>
      <c r="X271" s="17" t="str">
        <f>IF(OR(TEXT(X$13,"ddd")="Sun",X$13="",$D271=""),"",IF('Leave Planner'!V272="",1,0))</f>
        <v/>
      </c>
      <c r="Y271" s="17" t="str">
        <f>IF(OR(TEXT(Y$13,"ddd")="Sun",Y$13="",$D271=""),"",IF('Leave Planner'!W272="",1,0))</f>
        <v/>
      </c>
      <c r="Z271" s="17" t="str">
        <f>IF(OR(TEXT(Z$13,"ddd")="Sun",Z$13="",$D271=""),"",IF('Leave Planner'!X272="",1,0))</f>
        <v/>
      </c>
      <c r="AA271" s="17" t="str">
        <f>IF(OR(TEXT(AA$13,"ddd")="Sun",AA$13="",$D271=""),"",IF('Leave Planner'!Y272="",1,0))</f>
        <v/>
      </c>
      <c r="AB271" s="17" t="str">
        <f>IF(OR(TEXT(AB$13,"ddd")="Sun",AB$13="",$D271=""),"",IF('Leave Planner'!Z272="",1,0))</f>
        <v/>
      </c>
      <c r="AC271" s="17" t="str">
        <f>IF(OR(TEXT(AC$13,"ddd")="Sun",AC$13="",$D271=""),"",IF('Leave Planner'!AA272="",1,0))</f>
        <v/>
      </c>
      <c r="AD271" s="17" t="str">
        <f>IF(OR(TEXT(AD$13,"ddd")="Sun",AD$13="",$D271=""),"",IF('Leave Planner'!AB272="",1,0))</f>
        <v/>
      </c>
      <c r="AE271" s="17" t="str">
        <f>IF(OR(TEXT(AE$13,"ddd")="Sun",AE$13="",$D271=""),"",IF('Leave Planner'!AC272="",1,0))</f>
        <v/>
      </c>
      <c r="AF271" s="17" t="str">
        <f>IF(OR(TEXT(AF$13,"ddd")="Sun",AF$13="",$D271=""),"",IF('Leave Planner'!AD272="",1,0))</f>
        <v/>
      </c>
      <c r="AG271" s="17" t="str">
        <f>IF(OR(TEXT(AG$13,"ddd")="Sun",AG$13="",$D271=""),"",IF('Leave Planner'!AE272="",1,0))</f>
        <v/>
      </c>
      <c r="AH271" s="17" t="str">
        <f>IF(OR(TEXT(AH$13,"ddd")="Sun",AH$13="",$D271=""),"",IF('Leave Planner'!AF272="",1,0))</f>
        <v/>
      </c>
      <c r="AI271" s="17" t="str">
        <f>IF(OR(TEXT(AI$13,"ddd")="Sun",AI$13="",$D271=""),"",IF('Leave Planner'!AG272="",1,0))</f>
        <v/>
      </c>
      <c r="AJ271" s="17" t="str">
        <f>IF(OR(TEXT(AJ$13,"ddd")="Sun",AJ$13="",$D271=""),"",IF('Leave Planner'!AH272="",1,0))</f>
        <v/>
      </c>
    </row>
    <row r="272" spans="2:36" x14ac:dyDescent="0.75">
      <c r="B272" s="15"/>
      <c r="C272" s="22"/>
      <c r="D272" s="22"/>
      <c r="E272" s="42" t="str">
        <f t="shared" si="9"/>
        <v/>
      </c>
      <c r="F272" s="17" t="str">
        <f>IF(OR(TEXT(F$13,"ddd")="Sun",F$13="",$D272=""),"",IF('Leave Planner'!D273="",1,0))</f>
        <v/>
      </c>
      <c r="G272" s="17" t="str">
        <f>IF(OR(TEXT(G$13,"ddd")="Sun",G$13="",$D272=""),"",IF('Leave Planner'!E273="",1,0))</f>
        <v/>
      </c>
      <c r="H272" s="17" t="str">
        <f>IF(OR(TEXT(H$13,"ddd")="Sun",H$13="",$D272=""),"",IF('Leave Planner'!F273="",1,0))</f>
        <v/>
      </c>
      <c r="I272" s="17" t="str">
        <f>IF(OR(TEXT(I$13,"ddd")="Sun",I$13="",$D272=""),"",IF('Leave Planner'!G273="",1,0))</f>
        <v/>
      </c>
      <c r="J272" s="17" t="str">
        <f>IF(OR(TEXT(J$13,"ddd")="Sun",J$13="",$D272=""),"",IF('Leave Planner'!H273="",1,0))</f>
        <v/>
      </c>
      <c r="K272" s="17" t="str">
        <f>IF(OR(TEXT(K$13,"ddd")="Sun",K$13="",$D272=""),"",IF('Leave Planner'!I273="",1,0))</f>
        <v/>
      </c>
      <c r="L272" s="17" t="str">
        <f>IF(OR(TEXT(L$13,"ddd")="Sun",L$13="",$D272=""),"",IF('Leave Planner'!J273="",1,0))</f>
        <v/>
      </c>
      <c r="M272" s="17" t="str">
        <f>IF(OR(TEXT(M$13,"ddd")="Sun",M$13="",$D272=""),"",IF('Leave Planner'!K273="",1,0))</f>
        <v/>
      </c>
      <c r="N272" s="17" t="str">
        <f>IF(OR(TEXT(N$13,"ddd")="Sun",N$13="",$D272=""),"",IF('Leave Planner'!L273="",1,0))</f>
        <v/>
      </c>
      <c r="O272" s="17" t="str">
        <f>IF(OR(TEXT(O$13,"ddd")="Sun",O$13="",$D272=""),"",IF('Leave Planner'!M273="",1,0))</f>
        <v/>
      </c>
      <c r="P272" s="17" t="str">
        <f>IF(OR(TEXT(P$13,"ddd")="Sun",P$13="",$D272=""),"",IF('Leave Planner'!N273="",1,0))</f>
        <v/>
      </c>
      <c r="Q272" s="17" t="str">
        <f>IF(OR(TEXT(Q$13,"ddd")="Sun",Q$13="",$D272=""),"",IF('Leave Planner'!O273="",1,0))</f>
        <v/>
      </c>
      <c r="R272" s="17" t="str">
        <f>IF(OR(TEXT(R$13,"ddd")="Sun",R$13="",$D272=""),"",IF('Leave Planner'!P273="",1,0))</f>
        <v/>
      </c>
      <c r="S272" s="17" t="str">
        <f>IF(OR(TEXT(S$13,"ddd")="Sun",S$13="",$D272=""),"",IF('Leave Planner'!Q273="",1,0))</f>
        <v/>
      </c>
      <c r="T272" s="17" t="str">
        <f>IF(OR(TEXT(T$13,"ddd")="Sun",T$13="",$D272=""),"",IF('Leave Planner'!R273="",1,0))</f>
        <v/>
      </c>
      <c r="U272" s="17" t="str">
        <f>IF(OR(TEXT(U$13,"ddd")="Sun",U$13="",$D272=""),"",IF('Leave Planner'!S273="",1,0))</f>
        <v/>
      </c>
      <c r="V272" s="17" t="str">
        <f>IF(OR(TEXT(V$13,"ddd")="Sun",V$13="",$D272=""),"",IF('Leave Planner'!T273="",1,0))</f>
        <v/>
      </c>
      <c r="W272" s="17" t="str">
        <f>IF(OR(TEXT(W$13,"ddd")="Sun",W$13="",$D272=""),"",IF('Leave Planner'!U273="",1,0))</f>
        <v/>
      </c>
      <c r="X272" s="17" t="str">
        <f>IF(OR(TEXT(X$13,"ddd")="Sun",X$13="",$D272=""),"",IF('Leave Planner'!V273="",1,0))</f>
        <v/>
      </c>
      <c r="Y272" s="17" t="str">
        <f>IF(OR(TEXT(Y$13,"ddd")="Sun",Y$13="",$D272=""),"",IF('Leave Planner'!W273="",1,0))</f>
        <v/>
      </c>
      <c r="Z272" s="17" t="str">
        <f>IF(OR(TEXT(Z$13,"ddd")="Sun",Z$13="",$D272=""),"",IF('Leave Planner'!X273="",1,0))</f>
        <v/>
      </c>
      <c r="AA272" s="17" t="str">
        <f>IF(OR(TEXT(AA$13,"ddd")="Sun",AA$13="",$D272=""),"",IF('Leave Planner'!Y273="",1,0))</f>
        <v/>
      </c>
      <c r="AB272" s="17" t="str">
        <f>IF(OR(TEXT(AB$13,"ddd")="Sun",AB$13="",$D272=""),"",IF('Leave Planner'!Z273="",1,0))</f>
        <v/>
      </c>
      <c r="AC272" s="17" t="str">
        <f>IF(OR(TEXT(AC$13,"ddd")="Sun",AC$13="",$D272=""),"",IF('Leave Planner'!AA273="",1,0))</f>
        <v/>
      </c>
      <c r="AD272" s="17" t="str">
        <f>IF(OR(TEXT(AD$13,"ddd")="Sun",AD$13="",$D272=""),"",IF('Leave Planner'!AB273="",1,0))</f>
        <v/>
      </c>
      <c r="AE272" s="17" t="str">
        <f>IF(OR(TEXT(AE$13,"ddd")="Sun",AE$13="",$D272=""),"",IF('Leave Planner'!AC273="",1,0))</f>
        <v/>
      </c>
      <c r="AF272" s="17" t="str">
        <f>IF(OR(TEXT(AF$13,"ddd")="Sun",AF$13="",$D272=""),"",IF('Leave Planner'!AD273="",1,0))</f>
        <v/>
      </c>
      <c r="AG272" s="17" t="str">
        <f>IF(OR(TEXT(AG$13,"ddd")="Sun",AG$13="",$D272=""),"",IF('Leave Planner'!AE273="",1,0))</f>
        <v/>
      </c>
      <c r="AH272" s="17" t="str">
        <f>IF(OR(TEXT(AH$13,"ddd")="Sun",AH$13="",$D272=""),"",IF('Leave Planner'!AF273="",1,0))</f>
        <v/>
      </c>
      <c r="AI272" s="17" t="str">
        <f>IF(OR(TEXT(AI$13,"ddd")="Sun",AI$13="",$D272=""),"",IF('Leave Planner'!AG273="",1,0))</f>
        <v/>
      </c>
      <c r="AJ272" s="17" t="str">
        <f>IF(OR(TEXT(AJ$13,"ddd")="Sun",AJ$13="",$D272=""),"",IF('Leave Planner'!AH273="",1,0))</f>
        <v/>
      </c>
    </row>
    <row r="273" spans="2:36" x14ac:dyDescent="0.75">
      <c r="B273" s="15"/>
      <c r="C273" s="22"/>
      <c r="D273" s="22"/>
      <c r="E273" s="42" t="str">
        <f t="shared" si="9"/>
        <v/>
      </c>
      <c r="F273" s="17" t="str">
        <f>IF(OR(TEXT(F$13,"ddd")="Sun",F$13="",$D273=""),"",IF('Leave Planner'!D274="",1,0))</f>
        <v/>
      </c>
      <c r="G273" s="17" t="str">
        <f>IF(OR(TEXT(G$13,"ddd")="Sun",G$13="",$D273=""),"",IF('Leave Planner'!E274="",1,0))</f>
        <v/>
      </c>
      <c r="H273" s="17" t="str">
        <f>IF(OR(TEXT(H$13,"ddd")="Sun",H$13="",$D273=""),"",IF('Leave Planner'!F274="",1,0))</f>
        <v/>
      </c>
      <c r="I273" s="17" t="str">
        <f>IF(OR(TEXT(I$13,"ddd")="Sun",I$13="",$D273=""),"",IF('Leave Planner'!G274="",1,0))</f>
        <v/>
      </c>
      <c r="J273" s="17" t="str">
        <f>IF(OR(TEXT(J$13,"ddd")="Sun",J$13="",$D273=""),"",IF('Leave Planner'!H274="",1,0))</f>
        <v/>
      </c>
      <c r="K273" s="17" t="str">
        <f>IF(OR(TEXT(K$13,"ddd")="Sun",K$13="",$D273=""),"",IF('Leave Planner'!I274="",1,0))</f>
        <v/>
      </c>
      <c r="L273" s="17" t="str">
        <f>IF(OR(TEXT(L$13,"ddd")="Sun",L$13="",$D273=""),"",IF('Leave Planner'!J274="",1,0))</f>
        <v/>
      </c>
      <c r="M273" s="17" t="str">
        <f>IF(OR(TEXT(M$13,"ddd")="Sun",M$13="",$D273=""),"",IF('Leave Planner'!K274="",1,0))</f>
        <v/>
      </c>
      <c r="N273" s="17" t="str">
        <f>IF(OR(TEXT(N$13,"ddd")="Sun",N$13="",$D273=""),"",IF('Leave Planner'!L274="",1,0))</f>
        <v/>
      </c>
      <c r="O273" s="17" t="str">
        <f>IF(OR(TEXT(O$13,"ddd")="Sun",O$13="",$D273=""),"",IF('Leave Planner'!M274="",1,0))</f>
        <v/>
      </c>
      <c r="P273" s="17" t="str">
        <f>IF(OR(TEXT(P$13,"ddd")="Sun",P$13="",$D273=""),"",IF('Leave Planner'!N274="",1,0))</f>
        <v/>
      </c>
      <c r="Q273" s="17" t="str">
        <f>IF(OR(TEXT(Q$13,"ddd")="Sun",Q$13="",$D273=""),"",IF('Leave Planner'!O274="",1,0))</f>
        <v/>
      </c>
      <c r="R273" s="17" t="str">
        <f>IF(OR(TEXT(R$13,"ddd")="Sun",R$13="",$D273=""),"",IF('Leave Planner'!P274="",1,0))</f>
        <v/>
      </c>
      <c r="S273" s="17" t="str">
        <f>IF(OR(TEXT(S$13,"ddd")="Sun",S$13="",$D273=""),"",IF('Leave Planner'!Q274="",1,0))</f>
        <v/>
      </c>
      <c r="T273" s="17" t="str">
        <f>IF(OR(TEXT(T$13,"ddd")="Sun",T$13="",$D273=""),"",IF('Leave Planner'!R274="",1,0))</f>
        <v/>
      </c>
      <c r="U273" s="17" t="str">
        <f>IF(OR(TEXT(U$13,"ddd")="Sun",U$13="",$D273=""),"",IF('Leave Planner'!S274="",1,0))</f>
        <v/>
      </c>
      <c r="V273" s="17" t="str">
        <f>IF(OR(TEXT(V$13,"ddd")="Sun",V$13="",$D273=""),"",IF('Leave Planner'!T274="",1,0))</f>
        <v/>
      </c>
      <c r="W273" s="17" t="str">
        <f>IF(OR(TEXT(W$13,"ddd")="Sun",W$13="",$D273=""),"",IF('Leave Planner'!U274="",1,0))</f>
        <v/>
      </c>
      <c r="X273" s="17" t="str">
        <f>IF(OR(TEXT(X$13,"ddd")="Sun",X$13="",$D273=""),"",IF('Leave Planner'!V274="",1,0))</f>
        <v/>
      </c>
      <c r="Y273" s="17" t="str">
        <f>IF(OR(TEXT(Y$13,"ddd")="Sun",Y$13="",$D273=""),"",IF('Leave Planner'!W274="",1,0))</f>
        <v/>
      </c>
      <c r="Z273" s="17" t="str">
        <f>IF(OR(TEXT(Z$13,"ddd")="Sun",Z$13="",$D273=""),"",IF('Leave Planner'!X274="",1,0))</f>
        <v/>
      </c>
      <c r="AA273" s="17" t="str">
        <f>IF(OR(TEXT(AA$13,"ddd")="Sun",AA$13="",$D273=""),"",IF('Leave Planner'!Y274="",1,0))</f>
        <v/>
      </c>
      <c r="AB273" s="17" t="str">
        <f>IF(OR(TEXT(AB$13,"ddd")="Sun",AB$13="",$D273=""),"",IF('Leave Planner'!Z274="",1,0))</f>
        <v/>
      </c>
      <c r="AC273" s="17" t="str">
        <f>IF(OR(TEXT(AC$13,"ddd")="Sun",AC$13="",$D273=""),"",IF('Leave Planner'!AA274="",1,0))</f>
        <v/>
      </c>
      <c r="AD273" s="17" t="str">
        <f>IF(OR(TEXT(AD$13,"ddd")="Sun",AD$13="",$D273=""),"",IF('Leave Planner'!AB274="",1,0))</f>
        <v/>
      </c>
      <c r="AE273" s="17" t="str">
        <f>IF(OR(TEXT(AE$13,"ddd")="Sun",AE$13="",$D273=""),"",IF('Leave Planner'!AC274="",1,0))</f>
        <v/>
      </c>
      <c r="AF273" s="17" t="str">
        <f>IF(OR(TEXT(AF$13,"ddd")="Sun",AF$13="",$D273=""),"",IF('Leave Planner'!AD274="",1,0))</f>
        <v/>
      </c>
      <c r="AG273" s="17" t="str">
        <f>IF(OR(TEXT(AG$13,"ddd")="Sun",AG$13="",$D273=""),"",IF('Leave Planner'!AE274="",1,0))</f>
        <v/>
      </c>
      <c r="AH273" s="17" t="str">
        <f>IF(OR(TEXT(AH$13,"ddd")="Sun",AH$13="",$D273=""),"",IF('Leave Planner'!AF274="",1,0))</f>
        <v/>
      </c>
      <c r="AI273" s="17" t="str">
        <f>IF(OR(TEXT(AI$13,"ddd")="Sun",AI$13="",$D273=""),"",IF('Leave Planner'!AG274="",1,0))</f>
        <v/>
      </c>
      <c r="AJ273" s="17" t="str">
        <f>IF(OR(TEXT(AJ$13,"ddd")="Sun",AJ$13="",$D273=""),"",IF('Leave Planner'!AH274="",1,0))</f>
        <v/>
      </c>
    </row>
    <row r="274" spans="2:36" x14ac:dyDescent="0.75">
      <c r="B274" s="15"/>
      <c r="C274" s="22"/>
      <c r="D274" s="22"/>
      <c r="E274" s="42" t="str">
        <f t="shared" si="9"/>
        <v/>
      </c>
      <c r="F274" s="17" t="str">
        <f>IF(OR(TEXT(F$13,"ddd")="Sun",F$13="",$D274=""),"",IF('Leave Planner'!D275="",1,0))</f>
        <v/>
      </c>
      <c r="G274" s="17" t="str">
        <f>IF(OR(TEXT(G$13,"ddd")="Sun",G$13="",$D274=""),"",IF('Leave Planner'!E275="",1,0))</f>
        <v/>
      </c>
      <c r="H274" s="17" t="str">
        <f>IF(OR(TEXT(H$13,"ddd")="Sun",H$13="",$D274=""),"",IF('Leave Planner'!F275="",1,0))</f>
        <v/>
      </c>
      <c r="I274" s="17" t="str">
        <f>IF(OR(TEXT(I$13,"ddd")="Sun",I$13="",$D274=""),"",IF('Leave Planner'!G275="",1,0))</f>
        <v/>
      </c>
      <c r="J274" s="17" t="str">
        <f>IF(OR(TEXT(J$13,"ddd")="Sun",J$13="",$D274=""),"",IF('Leave Planner'!H275="",1,0))</f>
        <v/>
      </c>
      <c r="K274" s="17" t="str">
        <f>IF(OR(TEXT(K$13,"ddd")="Sun",K$13="",$D274=""),"",IF('Leave Planner'!I275="",1,0))</f>
        <v/>
      </c>
      <c r="L274" s="17" t="str">
        <f>IF(OR(TEXT(L$13,"ddd")="Sun",L$13="",$D274=""),"",IF('Leave Planner'!J275="",1,0))</f>
        <v/>
      </c>
      <c r="M274" s="17" t="str">
        <f>IF(OR(TEXT(M$13,"ddd")="Sun",M$13="",$D274=""),"",IF('Leave Planner'!K275="",1,0))</f>
        <v/>
      </c>
      <c r="N274" s="17" t="str">
        <f>IF(OR(TEXT(N$13,"ddd")="Sun",N$13="",$D274=""),"",IF('Leave Planner'!L275="",1,0))</f>
        <v/>
      </c>
      <c r="O274" s="17" t="str">
        <f>IF(OR(TEXT(O$13,"ddd")="Sun",O$13="",$D274=""),"",IF('Leave Planner'!M275="",1,0))</f>
        <v/>
      </c>
      <c r="P274" s="17" t="str">
        <f>IF(OR(TEXT(P$13,"ddd")="Sun",P$13="",$D274=""),"",IF('Leave Planner'!N275="",1,0))</f>
        <v/>
      </c>
      <c r="Q274" s="17" t="str">
        <f>IF(OR(TEXT(Q$13,"ddd")="Sun",Q$13="",$D274=""),"",IF('Leave Planner'!O275="",1,0))</f>
        <v/>
      </c>
      <c r="R274" s="17" t="str">
        <f>IF(OR(TEXT(R$13,"ddd")="Sun",R$13="",$D274=""),"",IF('Leave Planner'!P275="",1,0))</f>
        <v/>
      </c>
      <c r="S274" s="17" t="str">
        <f>IF(OR(TEXT(S$13,"ddd")="Sun",S$13="",$D274=""),"",IF('Leave Planner'!Q275="",1,0))</f>
        <v/>
      </c>
      <c r="T274" s="17" t="str">
        <f>IF(OR(TEXT(T$13,"ddd")="Sun",T$13="",$D274=""),"",IF('Leave Planner'!R275="",1,0))</f>
        <v/>
      </c>
      <c r="U274" s="17" t="str">
        <f>IF(OR(TEXT(U$13,"ddd")="Sun",U$13="",$D274=""),"",IF('Leave Planner'!S275="",1,0))</f>
        <v/>
      </c>
      <c r="V274" s="17" t="str">
        <f>IF(OR(TEXT(V$13,"ddd")="Sun",V$13="",$D274=""),"",IF('Leave Planner'!T275="",1,0))</f>
        <v/>
      </c>
      <c r="W274" s="17" t="str">
        <f>IF(OR(TEXT(W$13,"ddd")="Sun",W$13="",$D274=""),"",IF('Leave Planner'!U275="",1,0))</f>
        <v/>
      </c>
      <c r="X274" s="17" t="str">
        <f>IF(OR(TEXT(X$13,"ddd")="Sun",X$13="",$D274=""),"",IF('Leave Planner'!V275="",1,0))</f>
        <v/>
      </c>
      <c r="Y274" s="17" t="str">
        <f>IF(OR(TEXT(Y$13,"ddd")="Sun",Y$13="",$D274=""),"",IF('Leave Planner'!W275="",1,0))</f>
        <v/>
      </c>
      <c r="Z274" s="17" t="str">
        <f>IF(OR(TEXT(Z$13,"ddd")="Sun",Z$13="",$D274=""),"",IF('Leave Planner'!X275="",1,0))</f>
        <v/>
      </c>
      <c r="AA274" s="17" t="str">
        <f>IF(OR(TEXT(AA$13,"ddd")="Sun",AA$13="",$D274=""),"",IF('Leave Planner'!Y275="",1,0))</f>
        <v/>
      </c>
      <c r="AB274" s="17" t="str">
        <f>IF(OR(TEXT(AB$13,"ddd")="Sun",AB$13="",$D274=""),"",IF('Leave Planner'!Z275="",1,0))</f>
        <v/>
      </c>
      <c r="AC274" s="17" t="str">
        <f>IF(OR(TEXT(AC$13,"ddd")="Sun",AC$13="",$D274=""),"",IF('Leave Planner'!AA275="",1,0))</f>
        <v/>
      </c>
      <c r="AD274" s="17" t="str">
        <f>IF(OR(TEXT(AD$13,"ddd")="Sun",AD$13="",$D274=""),"",IF('Leave Planner'!AB275="",1,0))</f>
        <v/>
      </c>
      <c r="AE274" s="17" t="str">
        <f>IF(OR(TEXT(AE$13,"ddd")="Sun",AE$13="",$D274=""),"",IF('Leave Planner'!AC275="",1,0))</f>
        <v/>
      </c>
      <c r="AF274" s="17" t="str">
        <f>IF(OR(TEXT(AF$13,"ddd")="Sun",AF$13="",$D274=""),"",IF('Leave Planner'!AD275="",1,0))</f>
        <v/>
      </c>
      <c r="AG274" s="17" t="str">
        <f>IF(OR(TEXT(AG$13,"ddd")="Sun",AG$13="",$D274=""),"",IF('Leave Planner'!AE275="",1,0))</f>
        <v/>
      </c>
      <c r="AH274" s="17" t="str">
        <f>IF(OR(TEXT(AH$13,"ddd")="Sun",AH$13="",$D274=""),"",IF('Leave Planner'!AF275="",1,0))</f>
        <v/>
      </c>
      <c r="AI274" s="17" t="str">
        <f>IF(OR(TEXT(AI$13,"ddd")="Sun",AI$13="",$D274=""),"",IF('Leave Planner'!AG275="",1,0))</f>
        <v/>
      </c>
      <c r="AJ274" s="17" t="str">
        <f>IF(OR(TEXT(AJ$13,"ddd")="Sun",AJ$13="",$D274=""),"",IF('Leave Planner'!AH275="",1,0))</f>
        <v/>
      </c>
    </row>
    <row r="275" spans="2:36" x14ac:dyDescent="0.75">
      <c r="B275" s="15"/>
      <c r="C275" s="22"/>
      <c r="D275" s="22"/>
      <c r="E275" s="42" t="str">
        <f t="shared" si="9"/>
        <v/>
      </c>
      <c r="F275" s="17" t="str">
        <f>IF(OR(TEXT(F$13,"ddd")="Sun",F$13="",$D275=""),"",IF('Leave Planner'!D276="",1,0))</f>
        <v/>
      </c>
      <c r="G275" s="17" t="str">
        <f>IF(OR(TEXT(G$13,"ddd")="Sun",G$13="",$D275=""),"",IF('Leave Planner'!E276="",1,0))</f>
        <v/>
      </c>
      <c r="H275" s="17" t="str">
        <f>IF(OR(TEXT(H$13,"ddd")="Sun",H$13="",$D275=""),"",IF('Leave Planner'!F276="",1,0))</f>
        <v/>
      </c>
      <c r="I275" s="17" t="str">
        <f>IF(OR(TEXT(I$13,"ddd")="Sun",I$13="",$D275=""),"",IF('Leave Planner'!G276="",1,0))</f>
        <v/>
      </c>
      <c r="J275" s="17" t="str">
        <f>IF(OR(TEXT(J$13,"ddd")="Sun",J$13="",$D275=""),"",IF('Leave Planner'!H276="",1,0))</f>
        <v/>
      </c>
      <c r="K275" s="17" t="str">
        <f>IF(OR(TEXT(K$13,"ddd")="Sun",K$13="",$D275=""),"",IF('Leave Planner'!I276="",1,0))</f>
        <v/>
      </c>
      <c r="L275" s="17" t="str">
        <f>IF(OR(TEXT(L$13,"ddd")="Sun",L$13="",$D275=""),"",IF('Leave Planner'!J276="",1,0))</f>
        <v/>
      </c>
      <c r="M275" s="17" t="str">
        <f>IF(OR(TEXT(M$13,"ddd")="Sun",M$13="",$D275=""),"",IF('Leave Planner'!K276="",1,0))</f>
        <v/>
      </c>
      <c r="N275" s="17" t="str">
        <f>IF(OR(TEXT(N$13,"ddd")="Sun",N$13="",$D275=""),"",IF('Leave Planner'!L276="",1,0))</f>
        <v/>
      </c>
      <c r="O275" s="17" t="str">
        <f>IF(OR(TEXT(O$13,"ddd")="Sun",O$13="",$D275=""),"",IF('Leave Planner'!M276="",1,0))</f>
        <v/>
      </c>
      <c r="P275" s="17" t="str">
        <f>IF(OR(TEXT(P$13,"ddd")="Sun",P$13="",$D275=""),"",IF('Leave Planner'!N276="",1,0))</f>
        <v/>
      </c>
      <c r="Q275" s="17" t="str">
        <f>IF(OR(TEXT(Q$13,"ddd")="Sun",Q$13="",$D275=""),"",IF('Leave Planner'!O276="",1,0))</f>
        <v/>
      </c>
      <c r="R275" s="17" t="str">
        <f>IF(OR(TEXT(R$13,"ddd")="Sun",R$13="",$D275=""),"",IF('Leave Planner'!P276="",1,0))</f>
        <v/>
      </c>
      <c r="S275" s="17" t="str">
        <f>IF(OR(TEXT(S$13,"ddd")="Sun",S$13="",$D275=""),"",IF('Leave Planner'!Q276="",1,0))</f>
        <v/>
      </c>
      <c r="T275" s="17" t="str">
        <f>IF(OR(TEXT(T$13,"ddd")="Sun",T$13="",$D275=""),"",IF('Leave Planner'!R276="",1,0))</f>
        <v/>
      </c>
      <c r="U275" s="17" t="str">
        <f>IF(OR(TEXT(U$13,"ddd")="Sun",U$13="",$D275=""),"",IF('Leave Planner'!S276="",1,0))</f>
        <v/>
      </c>
      <c r="V275" s="17" t="str">
        <f>IF(OR(TEXT(V$13,"ddd")="Sun",V$13="",$D275=""),"",IF('Leave Planner'!T276="",1,0))</f>
        <v/>
      </c>
      <c r="W275" s="17" t="str">
        <f>IF(OR(TEXT(W$13,"ddd")="Sun",W$13="",$D275=""),"",IF('Leave Planner'!U276="",1,0))</f>
        <v/>
      </c>
      <c r="X275" s="17" t="str">
        <f>IF(OR(TEXT(X$13,"ddd")="Sun",X$13="",$D275=""),"",IF('Leave Planner'!V276="",1,0))</f>
        <v/>
      </c>
      <c r="Y275" s="17" t="str">
        <f>IF(OR(TEXT(Y$13,"ddd")="Sun",Y$13="",$D275=""),"",IF('Leave Planner'!W276="",1,0))</f>
        <v/>
      </c>
      <c r="Z275" s="17" t="str">
        <f>IF(OR(TEXT(Z$13,"ddd")="Sun",Z$13="",$D275=""),"",IF('Leave Planner'!X276="",1,0))</f>
        <v/>
      </c>
      <c r="AA275" s="17" t="str">
        <f>IF(OR(TEXT(AA$13,"ddd")="Sun",AA$13="",$D275=""),"",IF('Leave Planner'!Y276="",1,0))</f>
        <v/>
      </c>
      <c r="AB275" s="17" t="str">
        <f>IF(OR(TEXT(AB$13,"ddd")="Sun",AB$13="",$D275=""),"",IF('Leave Planner'!Z276="",1,0))</f>
        <v/>
      </c>
      <c r="AC275" s="17" t="str">
        <f>IF(OR(TEXT(AC$13,"ddd")="Sun",AC$13="",$D275=""),"",IF('Leave Planner'!AA276="",1,0))</f>
        <v/>
      </c>
      <c r="AD275" s="17" t="str">
        <f>IF(OR(TEXT(AD$13,"ddd")="Sun",AD$13="",$D275=""),"",IF('Leave Planner'!AB276="",1,0))</f>
        <v/>
      </c>
      <c r="AE275" s="17" t="str">
        <f>IF(OR(TEXT(AE$13,"ddd")="Sun",AE$13="",$D275=""),"",IF('Leave Planner'!AC276="",1,0))</f>
        <v/>
      </c>
      <c r="AF275" s="17" t="str">
        <f>IF(OR(TEXT(AF$13,"ddd")="Sun",AF$13="",$D275=""),"",IF('Leave Planner'!AD276="",1,0))</f>
        <v/>
      </c>
      <c r="AG275" s="17" t="str">
        <f>IF(OR(TEXT(AG$13,"ddd")="Sun",AG$13="",$D275=""),"",IF('Leave Planner'!AE276="",1,0))</f>
        <v/>
      </c>
      <c r="AH275" s="17" t="str">
        <f>IF(OR(TEXT(AH$13,"ddd")="Sun",AH$13="",$D275=""),"",IF('Leave Planner'!AF276="",1,0))</f>
        <v/>
      </c>
      <c r="AI275" s="17" t="str">
        <f>IF(OR(TEXT(AI$13,"ddd")="Sun",AI$13="",$D275=""),"",IF('Leave Planner'!AG276="",1,0))</f>
        <v/>
      </c>
      <c r="AJ275" s="17" t="str">
        <f>IF(OR(TEXT(AJ$13,"ddd")="Sun",AJ$13="",$D275=""),"",IF('Leave Planner'!AH276="",1,0))</f>
        <v/>
      </c>
    </row>
    <row r="276" spans="2:36" x14ac:dyDescent="0.75">
      <c r="B276" s="15"/>
      <c r="C276" s="22"/>
      <c r="D276" s="22"/>
      <c r="E276" s="42" t="str">
        <f t="shared" si="9"/>
        <v/>
      </c>
      <c r="F276" s="17" t="str">
        <f>IF(OR(TEXT(F$13,"ddd")="Sun",F$13="",$D276=""),"",IF('Leave Planner'!D277="",1,0))</f>
        <v/>
      </c>
      <c r="G276" s="17" t="str">
        <f>IF(OR(TEXT(G$13,"ddd")="Sun",G$13="",$D276=""),"",IF('Leave Planner'!E277="",1,0))</f>
        <v/>
      </c>
      <c r="H276" s="17" t="str">
        <f>IF(OR(TEXT(H$13,"ddd")="Sun",H$13="",$D276=""),"",IF('Leave Planner'!F277="",1,0))</f>
        <v/>
      </c>
      <c r="I276" s="17" t="str">
        <f>IF(OR(TEXT(I$13,"ddd")="Sun",I$13="",$D276=""),"",IF('Leave Planner'!G277="",1,0))</f>
        <v/>
      </c>
      <c r="J276" s="17" t="str">
        <f>IF(OR(TEXT(J$13,"ddd")="Sun",J$13="",$D276=""),"",IF('Leave Planner'!H277="",1,0))</f>
        <v/>
      </c>
      <c r="K276" s="17" t="str">
        <f>IF(OR(TEXT(K$13,"ddd")="Sun",K$13="",$D276=""),"",IF('Leave Planner'!I277="",1,0))</f>
        <v/>
      </c>
      <c r="L276" s="17" t="str">
        <f>IF(OR(TEXT(L$13,"ddd")="Sun",L$13="",$D276=""),"",IF('Leave Planner'!J277="",1,0))</f>
        <v/>
      </c>
      <c r="M276" s="17" t="str">
        <f>IF(OR(TEXT(M$13,"ddd")="Sun",M$13="",$D276=""),"",IF('Leave Planner'!K277="",1,0))</f>
        <v/>
      </c>
      <c r="N276" s="17" t="str">
        <f>IF(OR(TEXT(N$13,"ddd")="Sun",N$13="",$D276=""),"",IF('Leave Planner'!L277="",1,0))</f>
        <v/>
      </c>
      <c r="O276" s="17" t="str">
        <f>IF(OR(TEXT(O$13,"ddd")="Sun",O$13="",$D276=""),"",IF('Leave Planner'!M277="",1,0))</f>
        <v/>
      </c>
      <c r="P276" s="17" t="str">
        <f>IF(OR(TEXT(P$13,"ddd")="Sun",P$13="",$D276=""),"",IF('Leave Planner'!N277="",1,0))</f>
        <v/>
      </c>
      <c r="Q276" s="17" t="str">
        <f>IF(OR(TEXT(Q$13,"ddd")="Sun",Q$13="",$D276=""),"",IF('Leave Planner'!O277="",1,0))</f>
        <v/>
      </c>
      <c r="R276" s="17" t="str">
        <f>IF(OR(TEXT(R$13,"ddd")="Sun",R$13="",$D276=""),"",IF('Leave Planner'!P277="",1,0))</f>
        <v/>
      </c>
      <c r="S276" s="17" t="str">
        <f>IF(OR(TEXT(S$13,"ddd")="Sun",S$13="",$D276=""),"",IF('Leave Planner'!Q277="",1,0))</f>
        <v/>
      </c>
      <c r="T276" s="17" t="str">
        <f>IF(OR(TEXT(T$13,"ddd")="Sun",T$13="",$D276=""),"",IF('Leave Planner'!R277="",1,0))</f>
        <v/>
      </c>
      <c r="U276" s="17" t="str">
        <f>IF(OR(TEXT(U$13,"ddd")="Sun",U$13="",$D276=""),"",IF('Leave Planner'!S277="",1,0))</f>
        <v/>
      </c>
      <c r="V276" s="17" t="str">
        <f>IF(OR(TEXT(V$13,"ddd")="Sun",V$13="",$D276=""),"",IF('Leave Planner'!T277="",1,0))</f>
        <v/>
      </c>
      <c r="W276" s="17" t="str">
        <f>IF(OR(TEXT(W$13,"ddd")="Sun",W$13="",$D276=""),"",IF('Leave Planner'!U277="",1,0))</f>
        <v/>
      </c>
      <c r="X276" s="17" t="str">
        <f>IF(OR(TEXT(X$13,"ddd")="Sun",X$13="",$D276=""),"",IF('Leave Planner'!V277="",1,0))</f>
        <v/>
      </c>
      <c r="Y276" s="17" t="str">
        <f>IF(OR(TEXT(Y$13,"ddd")="Sun",Y$13="",$D276=""),"",IF('Leave Planner'!W277="",1,0))</f>
        <v/>
      </c>
      <c r="Z276" s="17" t="str">
        <f>IF(OR(TEXT(Z$13,"ddd")="Sun",Z$13="",$D276=""),"",IF('Leave Planner'!X277="",1,0))</f>
        <v/>
      </c>
      <c r="AA276" s="17" t="str">
        <f>IF(OR(TEXT(AA$13,"ddd")="Sun",AA$13="",$D276=""),"",IF('Leave Planner'!Y277="",1,0))</f>
        <v/>
      </c>
      <c r="AB276" s="17" t="str">
        <f>IF(OR(TEXT(AB$13,"ddd")="Sun",AB$13="",$D276=""),"",IF('Leave Planner'!Z277="",1,0))</f>
        <v/>
      </c>
      <c r="AC276" s="17" t="str">
        <f>IF(OR(TEXT(AC$13,"ddd")="Sun",AC$13="",$D276=""),"",IF('Leave Planner'!AA277="",1,0))</f>
        <v/>
      </c>
      <c r="AD276" s="17" t="str">
        <f>IF(OR(TEXT(AD$13,"ddd")="Sun",AD$13="",$D276=""),"",IF('Leave Planner'!AB277="",1,0))</f>
        <v/>
      </c>
      <c r="AE276" s="17" t="str">
        <f>IF(OR(TEXT(AE$13,"ddd")="Sun",AE$13="",$D276=""),"",IF('Leave Planner'!AC277="",1,0))</f>
        <v/>
      </c>
      <c r="AF276" s="17" t="str">
        <f>IF(OR(TEXT(AF$13,"ddd")="Sun",AF$13="",$D276=""),"",IF('Leave Planner'!AD277="",1,0))</f>
        <v/>
      </c>
      <c r="AG276" s="17" t="str">
        <f>IF(OR(TEXT(AG$13,"ddd")="Sun",AG$13="",$D276=""),"",IF('Leave Planner'!AE277="",1,0))</f>
        <v/>
      </c>
      <c r="AH276" s="17" t="str">
        <f>IF(OR(TEXT(AH$13,"ddd")="Sun",AH$13="",$D276=""),"",IF('Leave Planner'!AF277="",1,0))</f>
        <v/>
      </c>
      <c r="AI276" s="17" t="str">
        <f>IF(OR(TEXT(AI$13,"ddd")="Sun",AI$13="",$D276=""),"",IF('Leave Planner'!AG277="",1,0))</f>
        <v/>
      </c>
      <c r="AJ276" s="17" t="str">
        <f>IF(OR(TEXT(AJ$13,"ddd")="Sun",AJ$13="",$D276=""),"",IF('Leave Planner'!AH277="",1,0))</f>
        <v/>
      </c>
    </row>
    <row r="277" spans="2:36" x14ac:dyDescent="0.75">
      <c r="B277" s="15"/>
      <c r="C277" s="22"/>
      <c r="D277" s="22"/>
      <c r="E277" s="42" t="str">
        <f t="shared" si="9"/>
        <v/>
      </c>
      <c r="F277" s="17" t="str">
        <f>IF(OR(TEXT(F$13,"ddd")="Sun",F$13="",$D277=""),"",IF('Leave Planner'!D278="",1,0))</f>
        <v/>
      </c>
      <c r="G277" s="17" t="str">
        <f>IF(OR(TEXT(G$13,"ddd")="Sun",G$13="",$D277=""),"",IF('Leave Planner'!E278="",1,0))</f>
        <v/>
      </c>
      <c r="H277" s="17" t="str">
        <f>IF(OR(TEXT(H$13,"ddd")="Sun",H$13="",$D277=""),"",IF('Leave Planner'!F278="",1,0))</f>
        <v/>
      </c>
      <c r="I277" s="17" t="str">
        <f>IF(OR(TEXT(I$13,"ddd")="Sun",I$13="",$D277=""),"",IF('Leave Planner'!G278="",1,0))</f>
        <v/>
      </c>
      <c r="J277" s="17" t="str">
        <f>IF(OR(TEXT(J$13,"ddd")="Sun",J$13="",$D277=""),"",IF('Leave Planner'!H278="",1,0))</f>
        <v/>
      </c>
      <c r="K277" s="17" t="str">
        <f>IF(OR(TEXT(K$13,"ddd")="Sun",K$13="",$D277=""),"",IF('Leave Planner'!I278="",1,0))</f>
        <v/>
      </c>
      <c r="L277" s="17" t="str">
        <f>IF(OR(TEXT(L$13,"ddd")="Sun",L$13="",$D277=""),"",IF('Leave Planner'!J278="",1,0))</f>
        <v/>
      </c>
      <c r="M277" s="17" t="str">
        <f>IF(OR(TEXT(M$13,"ddd")="Sun",M$13="",$D277=""),"",IF('Leave Planner'!K278="",1,0))</f>
        <v/>
      </c>
      <c r="N277" s="17" t="str">
        <f>IF(OR(TEXT(N$13,"ddd")="Sun",N$13="",$D277=""),"",IF('Leave Planner'!L278="",1,0))</f>
        <v/>
      </c>
      <c r="O277" s="17" t="str">
        <f>IF(OR(TEXT(O$13,"ddd")="Sun",O$13="",$D277=""),"",IF('Leave Planner'!M278="",1,0))</f>
        <v/>
      </c>
      <c r="P277" s="17" t="str">
        <f>IF(OR(TEXT(P$13,"ddd")="Sun",P$13="",$D277=""),"",IF('Leave Planner'!N278="",1,0))</f>
        <v/>
      </c>
      <c r="Q277" s="17" t="str">
        <f>IF(OR(TEXT(Q$13,"ddd")="Sun",Q$13="",$D277=""),"",IF('Leave Planner'!O278="",1,0))</f>
        <v/>
      </c>
      <c r="R277" s="17" t="str">
        <f>IF(OR(TEXT(R$13,"ddd")="Sun",R$13="",$D277=""),"",IF('Leave Planner'!P278="",1,0))</f>
        <v/>
      </c>
      <c r="S277" s="17" t="str">
        <f>IF(OR(TEXT(S$13,"ddd")="Sun",S$13="",$D277=""),"",IF('Leave Planner'!Q278="",1,0))</f>
        <v/>
      </c>
      <c r="T277" s="17" t="str">
        <f>IF(OR(TEXT(T$13,"ddd")="Sun",T$13="",$D277=""),"",IF('Leave Planner'!R278="",1,0))</f>
        <v/>
      </c>
      <c r="U277" s="17" t="str">
        <f>IF(OR(TEXT(U$13,"ddd")="Sun",U$13="",$D277=""),"",IF('Leave Planner'!S278="",1,0))</f>
        <v/>
      </c>
      <c r="V277" s="17" t="str">
        <f>IF(OR(TEXT(V$13,"ddd")="Sun",V$13="",$D277=""),"",IF('Leave Planner'!T278="",1,0))</f>
        <v/>
      </c>
      <c r="W277" s="17" t="str">
        <f>IF(OR(TEXT(W$13,"ddd")="Sun",W$13="",$D277=""),"",IF('Leave Planner'!U278="",1,0))</f>
        <v/>
      </c>
      <c r="X277" s="17" t="str">
        <f>IF(OR(TEXT(X$13,"ddd")="Sun",X$13="",$D277=""),"",IF('Leave Planner'!V278="",1,0))</f>
        <v/>
      </c>
      <c r="Y277" s="17" t="str">
        <f>IF(OR(TEXT(Y$13,"ddd")="Sun",Y$13="",$D277=""),"",IF('Leave Planner'!W278="",1,0))</f>
        <v/>
      </c>
      <c r="Z277" s="17" t="str">
        <f>IF(OR(TEXT(Z$13,"ddd")="Sun",Z$13="",$D277=""),"",IF('Leave Planner'!X278="",1,0))</f>
        <v/>
      </c>
      <c r="AA277" s="17" t="str">
        <f>IF(OR(TEXT(AA$13,"ddd")="Sun",AA$13="",$D277=""),"",IF('Leave Planner'!Y278="",1,0))</f>
        <v/>
      </c>
      <c r="AB277" s="17" t="str">
        <f>IF(OR(TEXT(AB$13,"ddd")="Sun",AB$13="",$D277=""),"",IF('Leave Planner'!Z278="",1,0))</f>
        <v/>
      </c>
      <c r="AC277" s="17" t="str">
        <f>IF(OR(TEXT(AC$13,"ddd")="Sun",AC$13="",$D277=""),"",IF('Leave Planner'!AA278="",1,0))</f>
        <v/>
      </c>
      <c r="AD277" s="17" t="str">
        <f>IF(OR(TEXT(AD$13,"ddd")="Sun",AD$13="",$D277=""),"",IF('Leave Planner'!AB278="",1,0))</f>
        <v/>
      </c>
      <c r="AE277" s="17" t="str">
        <f>IF(OR(TEXT(AE$13,"ddd")="Sun",AE$13="",$D277=""),"",IF('Leave Planner'!AC278="",1,0))</f>
        <v/>
      </c>
      <c r="AF277" s="17" t="str">
        <f>IF(OR(TEXT(AF$13,"ddd")="Sun",AF$13="",$D277=""),"",IF('Leave Planner'!AD278="",1,0))</f>
        <v/>
      </c>
      <c r="AG277" s="17" t="str">
        <f>IF(OR(TEXT(AG$13,"ddd")="Sun",AG$13="",$D277=""),"",IF('Leave Planner'!AE278="",1,0))</f>
        <v/>
      </c>
      <c r="AH277" s="17" t="str">
        <f>IF(OR(TEXT(AH$13,"ddd")="Sun",AH$13="",$D277=""),"",IF('Leave Planner'!AF278="",1,0))</f>
        <v/>
      </c>
      <c r="AI277" s="17" t="str">
        <f>IF(OR(TEXT(AI$13,"ddd")="Sun",AI$13="",$D277=""),"",IF('Leave Planner'!AG278="",1,0))</f>
        <v/>
      </c>
      <c r="AJ277" s="17" t="str">
        <f>IF(OR(TEXT(AJ$13,"ddd")="Sun",AJ$13="",$D277=""),"",IF('Leave Planner'!AH278="",1,0))</f>
        <v/>
      </c>
    </row>
    <row r="278" spans="2:36" x14ac:dyDescent="0.75">
      <c r="B278" s="15"/>
      <c r="C278" s="22"/>
      <c r="D278" s="22"/>
      <c r="E278" s="42" t="str">
        <f t="shared" si="9"/>
        <v/>
      </c>
      <c r="F278" s="17" t="str">
        <f>IF(OR(TEXT(F$13,"ddd")="Sun",F$13="",$D278=""),"",IF('Leave Planner'!D279="",1,0))</f>
        <v/>
      </c>
      <c r="G278" s="17" t="str">
        <f>IF(OR(TEXT(G$13,"ddd")="Sun",G$13="",$D278=""),"",IF('Leave Planner'!E279="",1,0))</f>
        <v/>
      </c>
      <c r="H278" s="17" t="str">
        <f>IF(OR(TEXT(H$13,"ddd")="Sun",H$13="",$D278=""),"",IF('Leave Planner'!F279="",1,0))</f>
        <v/>
      </c>
      <c r="I278" s="17" t="str">
        <f>IF(OR(TEXT(I$13,"ddd")="Sun",I$13="",$D278=""),"",IF('Leave Planner'!G279="",1,0))</f>
        <v/>
      </c>
      <c r="J278" s="17" t="str">
        <f>IF(OR(TEXT(J$13,"ddd")="Sun",J$13="",$D278=""),"",IF('Leave Planner'!H279="",1,0))</f>
        <v/>
      </c>
      <c r="K278" s="17" t="str">
        <f>IF(OR(TEXT(K$13,"ddd")="Sun",K$13="",$D278=""),"",IF('Leave Planner'!I279="",1,0))</f>
        <v/>
      </c>
      <c r="L278" s="17" t="str">
        <f>IF(OR(TEXT(L$13,"ddd")="Sun",L$13="",$D278=""),"",IF('Leave Planner'!J279="",1,0))</f>
        <v/>
      </c>
      <c r="M278" s="17" t="str">
        <f>IF(OR(TEXT(M$13,"ddd")="Sun",M$13="",$D278=""),"",IF('Leave Planner'!K279="",1,0))</f>
        <v/>
      </c>
      <c r="N278" s="17" t="str">
        <f>IF(OR(TEXT(N$13,"ddd")="Sun",N$13="",$D278=""),"",IF('Leave Planner'!L279="",1,0))</f>
        <v/>
      </c>
      <c r="O278" s="17" t="str">
        <f>IF(OR(TEXT(O$13,"ddd")="Sun",O$13="",$D278=""),"",IF('Leave Planner'!M279="",1,0))</f>
        <v/>
      </c>
      <c r="P278" s="17" t="str">
        <f>IF(OR(TEXT(P$13,"ddd")="Sun",P$13="",$D278=""),"",IF('Leave Planner'!N279="",1,0))</f>
        <v/>
      </c>
      <c r="Q278" s="17" t="str">
        <f>IF(OR(TEXT(Q$13,"ddd")="Sun",Q$13="",$D278=""),"",IF('Leave Planner'!O279="",1,0))</f>
        <v/>
      </c>
      <c r="R278" s="17" t="str">
        <f>IF(OR(TEXT(R$13,"ddd")="Sun",R$13="",$D278=""),"",IF('Leave Planner'!P279="",1,0))</f>
        <v/>
      </c>
      <c r="S278" s="17" t="str">
        <f>IF(OR(TEXT(S$13,"ddd")="Sun",S$13="",$D278=""),"",IF('Leave Planner'!Q279="",1,0))</f>
        <v/>
      </c>
      <c r="T278" s="17" t="str">
        <f>IF(OR(TEXT(T$13,"ddd")="Sun",T$13="",$D278=""),"",IF('Leave Planner'!R279="",1,0))</f>
        <v/>
      </c>
      <c r="U278" s="17" t="str">
        <f>IF(OR(TEXT(U$13,"ddd")="Sun",U$13="",$D278=""),"",IF('Leave Planner'!S279="",1,0))</f>
        <v/>
      </c>
      <c r="V278" s="17" t="str">
        <f>IF(OR(TEXT(V$13,"ddd")="Sun",V$13="",$D278=""),"",IF('Leave Planner'!T279="",1,0))</f>
        <v/>
      </c>
      <c r="W278" s="17" t="str">
        <f>IF(OR(TEXT(W$13,"ddd")="Sun",W$13="",$D278=""),"",IF('Leave Planner'!U279="",1,0))</f>
        <v/>
      </c>
      <c r="X278" s="17" t="str">
        <f>IF(OR(TEXT(X$13,"ddd")="Sun",X$13="",$D278=""),"",IF('Leave Planner'!V279="",1,0))</f>
        <v/>
      </c>
      <c r="Y278" s="17" t="str">
        <f>IF(OR(TEXT(Y$13,"ddd")="Sun",Y$13="",$D278=""),"",IF('Leave Planner'!W279="",1,0))</f>
        <v/>
      </c>
      <c r="Z278" s="17" t="str">
        <f>IF(OR(TEXT(Z$13,"ddd")="Sun",Z$13="",$D278=""),"",IF('Leave Planner'!X279="",1,0))</f>
        <v/>
      </c>
      <c r="AA278" s="17" t="str">
        <f>IF(OR(TEXT(AA$13,"ddd")="Sun",AA$13="",$D278=""),"",IF('Leave Planner'!Y279="",1,0))</f>
        <v/>
      </c>
      <c r="AB278" s="17" t="str">
        <f>IF(OR(TEXT(AB$13,"ddd")="Sun",AB$13="",$D278=""),"",IF('Leave Planner'!Z279="",1,0))</f>
        <v/>
      </c>
      <c r="AC278" s="17" t="str">
        <f>IF(OR(TEXT(AC$13,"ddd")="Sun",AC$13="",$D278=""),"",IF('Leave Planner'!AA279="",1,0))</f>
        <v/>
      </c>
      <c r="AD278" s="17" t="str">
        <f>IF(OR(TEXT(AD$13,"ddd")="Sun",AD$13="",$D278=""),"",IF('Leave Planner'!AB279="",1,0))</f>
        <v/>
      </c>
      <c r="AE278" s="17" t="str">
        <f>IF(OR(TEXT(AE$13,"ddd")="Sun",AE$13="",$D278=""),"",IF('Leave Planner'!AC279="",1,0))</f>
        <v/>
      </c>
      <c r="AF278" s="17" t="str">
        <f>IF(OR(TEXT(AF$13,"ddd")="Sun",AF$13="",$D278=""),"",IF('Leave Planner'!AD279="",1,0))</f>
        <v/>
      </c>
      <c r="AG278" s="17" t="str">
        <f>IF(OR(TEXT(AG$13,"ddd")="Sun",AG$13="",$D278=""),"",IF('Leave Planner'!AE279="",1,0))</f>
        <v/>
      </c>
      <c r="AH278" s="17" t="str">
        <f>IF(OR(TEXT(AH$13,"ddd")="Sun",AH$13="",$D278=""),"",IF('Leave Planner'!AF279="",1,0))</f>
        <v/>
      </c>
      <c r="AI278" s="17" t="str">
        <f>IF(OR(TEXT(AI$13,"ddd")="Sun",AI$13="",$D278=""),"",IF('Leave Planner'!AG279="",1,0))</f>
        <v/>
      </c>
      <c r="AJ278" s="17" t="str">
        <f>IF(OR(TEXT(AJ$13,"ddd")="Sun",AJ$13="",$D278=""),"",IF('Leave Planner'!AH279="",1,0))</f>
        <v/>
      </c>
    </row>
    <row r="279" spans="2:36" x14ac:dyDescent="0.75">
      <c r="B279" s="15"/>
      <c r="C279" s="22"/>
      <c r="D279" s="22"/>
      <c r="E279" s="42" t="str">
        <f t="shared" si="9"/>
        <v/>
      </c>
      <c r="F279" s="17" t="str">
        <f>IF(OR(TEXT(F$13,"ddd")="Sun",F$13="",$D279=""),"",IF('Leave Planner'!D280="",1,0))</f>
        <v/>
      </c>
      <c r="G279" s="17" t="str">
        <f>IF(OR(TEXT(G$13,"ddd")="Sun",G$13="",$D279=""),"",IF('Leave Planner'!E280="",1,0))</f>
        <v/>
      </c>
      <c r="H279" s="17" t="str">
        <f>IF(OR(TEXT(H$13,"ddd")="Sun",H$13="",$D279=""),"",IF('Leave Planner'!F280="",1,0))</f>
        <v/>
      </c>
      <c r="I279" s="17" t="str">
        <f>IF(OR(TEXT(I$13,"ddd")="Sun",I$13="",$D279=""),"",IF('Leave Planner'!G280="",1,0))</f>
        <v/>
      </c>
      <c r="J279" s="17" t="str">
        <f>IF(OR(TEXT(J$13,"ddd")="Sun",J$13="",$D279=""),"",IF('Leave Planner'!H280="",1,0))</f>
        <v/>
      </c>
      <c r="K279" s="17" t="str">
        <f>IF(OR(TEXT(K$13,"ddd")="Sun",K$13="",$D279=""),"",IF('Leave Planner'!I280="",1,0))</f>
        <v/>
      </c>
      <c r="L279" s="17" t="str">
        <f>IF(OR(TEXT(L$13,"ddd")="Sun",L$13="",$D279=""),"",IF('Leave Planner'!J280="",1,0))</f>
        <v/>
      </c>
      <c r="M279" s="17" t="str">
        <f>IF(OR(TEXT(M$13,"ddd")="Sun",M$13="",$D279=""),"",IF('Leave Planner'!K280="",1,0))</f>
        <v/>
      </c>
      <c r="N279" s="17" t="str">
        <f>IF(OR(TEXT(N$13,"ddd")="Sun",N$13="",$D279=""),"",IF('Leave Planner'!L280="",1,0))</f>
        <v/>
      </c>
      <c r="O279" s="17" t="str">
        <f>IF(OR(TEXT(O$13,"ddd")="Sun",O$13="",$D279=""),"",IF('Leave Planner'!M280="",1,0))</f>
        <v/>
      </c>
      <c r="P279" s="17" t="str">
        <f>IF(OR(TEXT(P$13,"ddd")="Sun",P$13="",$D279=""),"",IF('Leave Planner'!N280="",1,0))</f>
        <v/>
      </c>
      <c r="Q279" s="17" t="str">
        <f>IF(OR(TEXT(Q$13,"ddd")="Sun",Q$13="",$D279=""),"",IF('Leave Planner'!O280="",1,0))</f>
        <v/>
      </c>
      <c r="R279" s="17" t="str">
        <f>IF(OR(TEXT(R$13,"ddd")="Sun",R$13="",$D279=""),"",IF('Leave Planner'!P280="",1,0))</f>
        <v/>
      </c>
      <c r="S279" s="17" t="str">
        <f>IF(OR(TEXT(S$13,"ddd")="Sun",S$13="",$D279=""),"",IF('Leave Planner'!Q280="",1,0))</f>
        <v/>
      </c>
      <c r="T279" s="17" t="str">
        <f>IF(OR(TEXT(T$13,"ddd")="Sun",T$13="",$D279=""),"",IF('Leave Planner'!R280="",1,0))</f>
        <v/>
      </c>
      <c r="U279" s="17" t="str">
        <f>IF(OR(TEXT(U$13,"ddd")="Sun",U$13="",$D279=""),"",IF('Leave Planner'!S280="",1,0))</f>
        <v/>
      </c>
      <c r="V279" s="17" t="str">
        <f>IF(OR(TEXT(V$13,"ddd")="Sun",V$13="",$D279=""),"",IF('Leave Planner'!T280="",1,0))</f>
        <v/>
      </c>
      <c r="W279" s="17" t="str">
        <f>IF(OR(TEXT(W$13,"ddd")="Sun",W$13="",$D279=""),"",IF('Leave Planner'!U280="",1,0))</f>
        <v/>
      </c>
      <c r="X279" s="17" t="str">
        <f>IF(OR(TEXT(X$13,"ddd")="Sun",X$13="",$D279=""),"",IF('Leave Planner'!V280="",1,0))</f>
        <v/>
      </c>
      <c r="Y279" s="17" t="str">
        <f>IF(OR(TEXT(Y$13,"ddd")="Sun",Y$13="",$D279=""),"",IF('Leave Planner'!W280="",1,0))</f>
        <v/>
      </c>
      <c r="Z279" s="17" t="str">
        <f>IF(OR(TEXT(Z$13,"ddd")="Sun",Z$13="",$D279=""),"",IF('Leave Planner'!X280="",1,0))</f>
        <v/>
      </c>
      <c r="AA279" s="17" t="str">
        <f>IF(OR(TEXT(AA$13,"ddd")="Sun",AA$13="",$D279=""),"",IF('Leave Planner'!Y280="",1,0))</f>
        <v/>
      </c>
      <c r="AB279" s="17" t="str">
        <f>IF(OR(TEXT(AB$13,"ddd")="Sun",AB$13="",$D279=""),"",IF('Leave Planner'!Z280="",1,0))</f>
        <v/>
      </c>
      <c r="AC279" s="17" t="str">
        <f>IF(OR(TEXT(AC$13,"ddd")="Sun",AC$13="",$D279=""),"",IF('Leave Planner'!AA280="",1,0))</f>
        <v/>
      </c>
      <c r="AD279" s="17" t="str">
        <f>IF(OR(TEXT(AD$13,"ddd")="Sun",AD$13="",$D279=""),"",IF('Leave Planner'!AB280="",1,0))</f>
        <v/>
      </c>
      <c r="AE279" s="17" t="str">
        <f>IF(OR(TEXT(AE$13,"ddd")="Sun",AE$13="",$D279=""),"",IF('Leave Planner'!AC280="",1,0))</f>
        <v/>
      </c>
      <c r="AF279" s="17" t="str">
        <f>IF(OR(TEXT(AF$13,"ddd")="Sun",AF$13="",$D279=""),"",IF('Leave Planner'!AD280="",1,0))</f>
        <v/>
      </c>
      <c r="AG279" s="17" t="str">
        <f>IF(OR(TEXT(AG$13,"ddd")="Sun",AG$13="",$D279=""),"",IF('Leave Planner'!AE280="",1,0))</f>
        <v/>
      </c>
      <c r="AH279" s="17" t="str">
        <f>IF(OR(TEXT(AH$13,"ddd")="Sun",AH$13="",$D279=""),"",IF('Leave Planner'!AF280="",1,0))</f>
        <v/>
      </c>
      <c r="AI279" s="17" t="str">
        <f>IF(OR(TEXT(AI$13,"ddd")="Sun",AI$13="",$D279=""),"",IF('Leave Planner'!AG280="",1,0))</f>
        <v/>
      </c>
      <c r="AJ279" s="17" t="str">
        <f>IF(OR(TEXT(AJ$13,"ddd")="Sun",AJ$13="",$D279=""),"",IF('Leave Planner'!AH280="",1,0))</f>
        <v/>
      </c>
    </row>
    <row r="280" spans="2:36" x14ac:dyDescent="0.75">
      <c r="B280" s="15"/>
      <c r="C280" s="22"/>
      <c r="D280" s="22"/>
      <c r="E280" s="42" t="str">
        <f t="shared" si="9"/>
        <v/>
      </c>
      <c r="F280" s="17" t="str">
        <f>IF(OR(TEXT(F$13,"ddd")="Sun",F$13="",$D280=""),"",IF('Leave Planner'!D281="",1,0))</f>
        <v/>
      </c>
      <c r="G280" s="17" t="str">
        <f>IF(OR(TEXT(G$13,"ddd")="Sun",G$13="",$D280=""),"",IF('Leave Planner'!E281="",1,0))</f>
        <v/>
      </c>
      <c r="H280" s="17" t="str">
        <f>IF(OR(TEXT(H$13,"ddd")="Sun",H$13="",$D280=""),"",IF('Leave Planner'!F281="",1,0))</f>
        <v/>
      </c>
      <c r="I280" s="17" t="str">
        <f>IF(OR(TEXT(I$13,"ddd")="Sun",I$13="",$D280=""),"",IF('Leave Planner'!G281="",1,0))</f>
        <v/>
      </c>
      <c r="J280" s="17" t="str">
        <f>IF(OR(TEXT(J$13,"ddd")="Sun",J$13="",$D280=""),"",IF('Leave Planner'!H281="",1,0))</f>
        <v/>
      </c>
      <c r="K280" s="17" t="str">
        <f>IF(OR(TEXT(K$13,"ddd")="Sun",K$13="",$D280=""),"",IF('Leave Planner'!I281="",1,0))</f>
        <v/>
      </c>
      <c r="L280" s="17" t="str">
        <f>IF(OR(TEXT(L$13,"ddd")="Sun",L$13="",$D280=""),"",IF('Leave Planner'!J281="",1,0))</f>
        <v/>
      </c>
      <c r="M280" s="17" t="str">
        <f>IF(OR(TEXT(M$13,"ddd")="Sun",M$13="",$D280=""),"",IF('Leave Planner'!K281="",1,0))</f>
        <v/>
      </c>
      <c r="N280" s="17" t="str">
        <f>IF(OR(TEXT(N$13,"ddd")="Sun",N$13="",$D280=""),"",IF('Leave Planner'!L281="",1,0))</f>
        <v/>
      </c>
      <c r="O280" s="17" t="str">
        <f>IF(OR(TEXT(O$13,"ddd")="Sun",O$13="",$D280=""),"",IF('Leave Planner'!M281="",1,0))</f>
        <v/>
      </c>
      <c r="P280" s="17" t="str">
        <f>IF(OR(TEXT(P$13,"ddd")="Sun",P$13="",$D280=""),"",IF('Leave Planner'!N281="",1,0))</f>
        <v/>
      </c>
      <c r="Q280" s="17" t="str">
        <f>IF(OR(TEXT(Q$13,"ddd")="Sun",Q$13="",$D280=""),"",IF('Leave Planner'!O281="",1,0))</f>
        <v/>
      </c>
      <c r="R280" s="17" t="str">
        <f>IF(OR(TEXT(R$13,"ddd")="Sun",R$13="",$D280=""),"",IF('Leave Planner'!P281="",1,0))</f>
        <v/>
      </c>
      <c r="S280" s="17" t="str">
        <f>IF(OR(TEXT(S$13,"ddd")="Sun",S$13="",$D280=""),"",IF('Leave Planner'!Q281="",1,0))</f>
        <v/>
      </c>
      <c r="T280" s="17" t="str">
        <f>IF(OR(TEXT(T$13,"ddd")="Sun",T$13="",$D280=""),"",IF('Leave Planner'!R281="",1,0))</f>
        <v/>
      </c>
      <c r="U280" s="17" t="str">
        <f>IF(OR(TEXT(U$13,"ddd")="Sun",U$13="",$D280=""),"",IF('Leave Planner'!S281="",1,0))</f>
        <v/>
      </c>
      <c r="V280" s="17" t="str">
        <f>IF(OR(TEXT(V$13,"ddd")="Sun",V$13="",$D280=""),"",IF('Leave Planner'!T281="",1,0))</f>
        <v/>
      </c>
      <c r="W280" s="17" t="str">
        <f>IF(OR(TEXT(W$13,"ddd")="Sun",W$13="",$D280=""),"",IF('Leave Planner'!U281="",1,0))</f>
        <v/>
      </c>
      <c r="X280" s="17" t="str">
        <f>IF(OR(TEXT(X$13,"ddd")="Sun",X$13="",$D280=""),"",IF('Leave Planner'!V281="",1,0))</f>
        <v/>
      </c>
      <c r="Y280" s="17" t="str">
        <f>IF(OR(TEXT(Y$13,"ddd")="Sun",Y$13="",$D280=""),"",IF('Leave Planner'!W281="",1,0))</f>
        <v/>
      </c>
      <c r="Z280" s="17" t="str">
        <f>IF(OR(TEXT(Z$13,"ddd")="Sun",Z$13="",$D280=""),"",IF('Leave Planner'!X281="",1,0))</f>
        <v/>
      </c>
      <c r="AA280" s="17" t="str">
        <f>IF(OR(TEXT(AA$13,"ddd")="Sun",AA$13="",$D280=""),"",IF('Leave Planner'!Y281="",1,0))</f>
        <v/>
      </c>
      <c r="AB280" s="17" t="str">
        <f>IF(OR(TEXT(AB$13,"ddd")="Sun",AB$13="",$D280=""),"",IF('Leave Planner'!Z281="",1,0))</f>
        <v/>
      </c>
      <c r="AC280" s="17" t="str">
        <f>IF(OR(TEXT(AC$13,"ddd")="Sun",AC$13="",$D280=""),"",IF('Leave Planner'!AA281="",1,0))</f>
        <v/>
      </c>
      <c r="AD280" s="17" t="str">
        <f>IF(OR(TEXT(AD$13,"ddd")="Sun",AD$13="",$D280=""),"",IF('Leave Planner'!AB281="",1,0))</f>
        <v/>
      </c>
      <c r="AE280" s="17" t="str">
        <f>IF(OR(TEXT(AE$13,"ddd")="Sun",AE$13="",$D280=""),"",IF('Leave Planner'!AC281="",1,0))</f>
        <v/>
      </c>
      <c r="AF280" s="17" t="str">
        <f>IF(OR(TEXT(AF$13,"ddd")="Sun",AF$13="",$D280=""),"",IF('Leave Planner'!AD281="",1,0))</f>
        <v/>
      </c>
      <c r="AG280" s="17" t="str">
        <f>IF(OR(TEXT(AG$13,"ddd")="Sun",AG$13="",$D280=""),"",IF('Leave Planner'!AE281="",1,0))</f>
        <v/>
      </c>
      <c r="AH280" s="17" t="str">
        <f>IF(OR(TEXT(AH$13,"ddd")="Sun",AH$13="",$D280=""),"",IF('Leave Planner'!AF281="",1,0))</f>
        <v/>
      </c>
      <c r="AI280" s="17" t="str">
        <f>IF(OR(TEXT(AI$13,"ddd")="Sun",AI$13="",$D280=""),"",IF('Leave Planner'!AG281="",1,0))</f>
        <v/>
      </c>
      <c r="AJ280" s="17" t="str">
        <f>IF(OR(TEXT(AJ$13,"ddd")="Sun",AJ$13="",$D280=""),"",IF('Leave Planner'!AH281="",1,0))</f>
        <v/>
      </c>
    </row>
    <row r="281" spans="2:36" x14ac:dyDescent="0.75">
      <c r="B281" s="15"/>
      <c r="C281" s="22"/>
      <c r="D281" s="22"/>
      <c r="E281" s="42" t="str">
        <f t="shared" si="9"/>
        <v/>
      </c>
      <c r="F281" s="17" t="str">
        <f>IF(OR(TEXT(F$13,"ddd")="Sun",F$13="",$D281=""),"",IF('Leave Planner'!D282="",1,0))</f>
        <v/>
      </c>
      <c r="G281" s="17" t="str">
        <f>IF(OR(TEXT(G$13,"ddd")="Sun",G$13="",$D281=""),"",IF('Leave Planner'!E282="",1,0))</f>
        <v/>
      </c>
      <c r="H281" s="17" t="str">
        <f>IF(OR(TEXT(H$13,"ddd")="Sun",H$13="",$D281=""),"",IF('Leave Planner'!F282="",1,0))</f>
        <v/>
      </c>
      <c r="I281" s="17" t="str">
        <f>IF(OR(TEXT(I$13,"ddd")="Sun",I$13="",$D281=""),"",IF('Leave Planner'!G282="",1,0))</f>
        <v/>
      </c>
      <c r="J281" s="17" t="str">
        <f>IF(OR(TEXT(J$13,"ddd")="Sun",J$13="",$D281=""),"",IF('Leave Planner'!H282="",1,0))</f>
        <v/>
      </c>
      <c r="K281" s="17" t="str">
        <f>IF(OR(TEXT(K$13,"ddd")="Sun",K$13="",$D281=""),"",IF('Leave Planner'!I282="",1,0))</f>
        <v/>
      </c>
      <c r="L281" s="17" t="str">
        <f>IF(OR(TEXT(L$13,"ddd")="Sun",L$13="",$D281=""),"",IF('Leave Planner'!J282="",1,0))</f>
        <v/>
      </c>
      <c r="M281" s="17" t="str">
        <f>IF(OR(TEXT(M$13,"ddd")="Sun",M$13="",$D281=""),"",IF('Leave Planner'!K282="",1,0))</f>
        <v/>
      </c>
      <c r="N281" s="17" t="str">
        <f>IF(OR(TEXT(N$13,"ddd")="Sun",N$13="",$D281=""),"",IF('Leave Planner'!L282="",1,0))</f>
        <v/>
      </c>
      <c r="O281" s="17" t="str">
        <f>IF(OR(TEXT(O$13,"ddd")="Sun",O$13="",$D281=""),"",IF('Leave Planner'!M282="",1,0))</f>
        <v/>
      </c>
      <c r="P281" s="17" t="str">
        <f>IF(OR(TEXT(P$13,"ddd")="Sun",P$13="",$D281=""),"",IF('Leave Planner'!N282="",1,0))</f>
        <v/>
      </c>
      <c r="Q281" s="17" t="str">
        <f>IF(OR(TEXT(Q$13,"ddd")="Sun",Q$13="",$D281=""),"",IF('Leave Planner'!O282="",1,0))</f>
        <v/>
      </c>
      <c r="R281" s="17" t="str">
        <f>IF(OR(TEXT(R$13,"ddd")="Sun",R$13="",$D281=""),"",IF('Leave Planner'!P282="",1,0))</f>
        <v/>
      </c>
      <c r="S281" s="17" t="str">
        <f>IF(OR(TEXT(S$13,"ddd")="Sun",S$13="",$D281=""),"",IF('Leave Planner'!Q282="",1,0))</f>
        <v/>
      </c>
      <c r="T281" s="17" t="str">
        <f>IF(OR(TEXT(T$13,"ddd")="Sun",T$13="",$D281=""),"",IF('Leave Planner'!R282="",1,0))</f>
        <v/>
      </c>
      <c r="U281" s="17" t="str">
        <f>IF(OR(TEXT(U$13,"ddd")="Sun",U$13="",$D281=""),"",IF('Leave Planner'!S282="",1,0))</f>
        <v/>
      </c>
      <c r="V281" s="17" t="str">
        <f>IF(OR(TEXT(V$13,"ddd")="Sun",V$13="",$D281=""),"",IF('Leave Planner'!T282="",1,0))</f>
        <v/>
      </c>
      <c r="W281" s="17" t="str">
        <f>IF(OR(TEXT(W$13,"ddd")="Sun",W$13="",$D281=""),"",IF('Leave Planner'!U282="",1,0))</f>
        <v/>
      </c>
      <c r="X281" s="17" t="str">
        <f>IF(OR(TEXT(X$13,"ddd")="Sun",X$13="",$D281=""),"",IF('Leave Planner'!V282="",1,0))</f>
        <v/>
      </c>
      <c r="Y281" s="17" t="str">
        <f>IF(OR(TEXT(Y$13,"ddd")="Sun",Y$13="",$D281=""),"",IF('Leave Planner'!W282="",1,0))</f>
        <v/>
      </c>
      <c r="Z281" s="17" t="str">
        <f>IF(OR(TEXT(Z$13,"ddd")="Sun",Z$13="",$D281=""),"",IF('Leave Planner'!X282="",1,0))</f>
        <v/>
      </c>
      <c r="AA281" s="17" t="str">
        <f>IF(OR(TEXT(AA$13,"ddd")="Sun",AA$13="",$D281=""),"",IF('Leave Planner'!Y282="",1,0))</f>
        <v/>
      </c>
      <c r="AB281" s="17" t="str">
        <f>IF(OR(TEXT(AB$13,"ddd")="Sun",AB$13="",$D281=""),"",IF('Leave Planner'!Z282="",1,0))</f>
        <v/>
      </c>
      <c r="AC281" s="17" t="str">
        <f>IF(OR(TEXT(AC$13,"ddd")="Sun",AC$13="",$D281=""),"",IF('Leave Planner'!AA282="",1,0))</f>
        <v/>
      </c>
      <c r="AD281" s="17" t="str">
        <f>IF(OR(TEXT(AD$13,"ddd")="Sun",AD$13="",$D281=""),"",IF('Leave Planner'!AB282="",1,0))</f>
        <v/>
      </c>
      <c r="AE281" s="17" t="str">
        <f>IF(OR(TEXT(AE$13,"ddd")="Sun",AE$13="",$D281=""),"",IF('Leave Planner'!AC282="",1,0))</f>
        <v/>
      </c>
      <c r="AF281" s="17" t="str">
        <f>IF(OR(TEXT(AF$13,"ddd")="Sun",AF$13="",$D281=""),"",IF('Leave Planner'!AD282="",1,0))</f>
        <v/>
      </c>
      <c r="AG281" s="17" t="str">
        <f>IF(OR(TEXT(AG$13,"ddd")="Sun",AG$13="",$D281=""),"",IF('Leave Planner'!AE282="",1,0))</f>
        <v/>
      </c>
      <c r="AH281" s="17" t="str">
        <f>IF(OR(TEXT(AH$13,"ddd")="Sun",AH$13="",$D281=""),"",IF('Leave Planner'!AF282="",1,0))</f>
        <v/>
      </c>
      <c r="AI281" s="17" t="str">
        <f>IF(OR(TEXT(AI$13,"ddd")="Sun",AI$13="",$D281=""),"",IF('Leave Planner'!AG282="",1,0))</f>
        <v/>
      </c>
      <c r="AJ281" s="17" t="str">
        <f>IF(OR(TEXT(AJ$13,"ddd")="Sun",AJ$13="",$D281=""),"",IF('Leave Planner'!AH282="",1,0))</f>
        <v/>
      </c>
    </row>
    <row r="282" spans="2:36" x14ac:dyDescent="0.75">
      <c r="B282" s="15"/>
      <c r="C282" s="22"/>
      <c r="D282" s="22"/>
      <c r="E282" s="42" t="str">
        <f t="shared" si="9"/>
        <v/>
      </c>
      <c r="F282" s="17" t="str">
        <f>IF(OR(TEXT(F$13,"ddd")="Sun",F$13="",$D282=""),"",IF('Leave Planner'!D283="",1,0))</f>
        <v/>
      </c>
      <c r="G282" s="17" t="str">
        <f>IF(OR(TEXT(G$13,"ddd")="Sun",G$13="",$D282=""),"",IF('Leave Planner'!E283="",1,0))</f>
        <v/>
      </c>
      <c r="H282" s="17" t="str">
        <f>IF(OR(TEXT(H$13,"ddd")="Sun",H$13="",$D282=""),"",IF('Leave Planner'!F283="",1,0))</f>
        <v/>
      </c>
      <c r="I282" s="17" t="str">
        <f>IF(OR(TEXT(I$13,"ddd")="Sun",I$13="",$D282=""),"",IF('Leave Planner'!G283="",1,0))</f>
        <v/>
      </c>
      <c r="J282" s="17" t="str">
        <f>IF(OR(TEXT(J$13,"ddd")="Sun",J$13="",$D282=""),"",IF('Leave Planner'!H283="",1,0))</f>
        <v/>
      </c>
      <c r="K282" s="17" t="str">
        <f>IF(OR(TEXT(K$13,"ddd")="Sun",K$13="",$D282=""),"",IF('Leave Planner'!I283="",1,0))</f>
        <v/>
      </c>
      <c r="L282" s="17" t="str">
        <f>IF(OR(TEXT(L$13,"ddd")="Sun",L$13="",$D282=""),"",IF('Leave Planner'!J283="",1,0))</f>
        <v/>
      </c>
      <c r="M282" s="17" t="str">
        <f>IF(OR(TEXT(M$13,"ddd")="Sun",M$13="",$D282=""),"",IF('Leave Planner'!K283="",1,0))</f>
        <v/>
      </c>
      <c r="N282" s="17" t="str">
        <f>IF(OR(TEXT(N$13,"ddd")="Sun",N$13="",$D282=""),"",IF('Leave Planner'!L283="",1,0))</f>
        <v/>
      </c>
      <c r="O282" s="17" t="str">
        <f>IF(OR(TEXT(O$13,"ddd")="Sun",O$13="",$D282=""),"",IF('Leave Planner'!M283="",1,0))</f>
        <v/>
      </c>
      <c r="P282" s="17" t="str">
        <f>IF(OR(TEXT(P$13,"ddd")="Sun",P$13="",$D282=""),"",IF('Leave Planner'!N283="",1,0))</f>
        <v/>
      </c>
      <c r="Q282" s="17" t="str">
        <f>IF(OR(TEXT(Q$13,"ddd")="Sun",Q$13="",$D282=""),"",IF('Leave Planner'!O283="",1,0))</f>
        <v/>
      </c>
      <c r="R282" s="17" t="str">
        <f>IF(OR(TEXT(R$13,"ddd")="Sun",R$13="",$D282=""),"",IF('Leave Planner'!P283="",1,0))</f>
        <v/>
      </c>
      <c r="S282" s="17" t="str">
        <f>IF(OR(TEXT(S$13,"ddd")="Sun",S$13="",$D282=""),"",IF('Leave Planner'!Q283="",1,0))</f>
        <v/>
      </c>
      <c r="T282" s="17" t="str">
        <f>IF(OR(TEXT(T$13,"ddd")="Sun",T$13="",$D282=""),"",IF('Leave Planner'!R283="",1,0))</f>
        <v/>
      </c>
      <c r="U282" s="17" t="str">
        <f>IF(OR(TEXT(U$13,"ddd")="Sun",U$13="",$D282=""),"",IF('Leave Planner'!S283="",1,0))</f>
        <v/>
      </c>
      <c r="V282" s="17" t="str">
        <f>IF(OR(TEXT(V$13,"ddd")="Sun",V$13="",$D282=""),"",IF('Leave Planner'!T283="",1,0))</f>
        <v/>
      </c>
      <c r="W282" s="17" t="str">
        <f>IF(OR(TEXT(W$13,"ddd")="Sun",W$13="",$D282=""),"",IF('Leave Planner'!U283="",1,0))</f>
        <v/>
      </c>
      <c r="X282" s="17" t="str">
        <f>IF(OR(TEXT(X$13,"ddd")="Sun",X$13="",$D282=""),"",IF('Leave Planner'!V283="",1,0))</f>
        <v/>
      </c>
      <c r="Y282" s="17" t="str">
        <f>IF(OR(TEXT(Y$13,"ddd")="Sun",Y$13="",$D282=""),"",IF('Leave Planner'!W283="",1,0))</f>
        <v/>
      </c>
      <c r="Z282" s="17" t="str">
        <f>IF(OR(TEXT(Z$13,"ddd")="Sun",Z$13="",$D282=""),"",IF('Leave Planner'!X283="",1,0))</f>
        <v/>
      </c>
      <c r="AA282" s="17" t="str">
        <f>IF(OR(TEXT(AA$13,"ddd")="Sun",AA$13="",$D282=""),"",IF('Leave Planner'!Y283="",1,0))</f>
        <v/>
      </c>
      <c r="AB282" s="17" t="str">
        <f>IF(OR(TEXT(AB$13,"ddd")="Sun",AB$13="",$D282=""),"",IF('Leave Planner'!Z283="",1,0))</f>
        <v/>
      </c>
      <c r="AC282" s="17" t="str">
        <f>IF(OR(TEXT(AC$13,"ddd")="Sun",AC$13="",$D282=""),"",IF('Leave Planner'!AA283="",1,0))</f>
        <v/>
      </c>
      <c r="AD282" s="17" t="str">
        <f>IF(OR(TEXT(AD$13,"ddd")="Sun",AD$13="",$D282=""),"",IF('Leave Planner'!AB283="",1,0))</f>
        <v/>
      </c>
      <c r="AE282" s="17" t="str">
        <f>IF(OR(TEXT(AE$13,"ddd")="Sun",AE$13="",$D282=""),"",IF('Leave Planner'!AC283="",1,0))</f>
        <v/>
      </c>
      <c r="AF282" s="17" t="str">
        <f>IF(OR(TEXT(AF$13,"ddd")="Sun",AF$13="",$D282=""),"",IF('Leave Planner'!AD283="",1,0))</f>
        <v/>
      </c>
      <c r="AG282" s="17" t="str">
        <f>IF(OR(TEXT(AG$13,"ddd")="Sun",AG$13="",$D282=""),"",IF('Leave Planner'!AE283="",1,0))</f>
        <v/>
      </c>
      <c r="AH282" s="17" t="str">
        <f>IF(OR(TEXT(AH$13,"ddd")="Sun",AH$13="",$D282=""),"",IF('Leave Planner'!AF283="",1,0))</f>
        <v/>
      </c>
      <c r="AI282" s="17" t="str">
        <f>IF(OR(TEXT(AI$13,"ddd")="Sun",AI$13="",$D282=""),"",IF('Leave Planner'!AG283="",1,0))</f>
        <v/>
      </c>
      <c r="AJ282" s="17" t="str">
        <f>IF(OR(TEXT(AJ$13,"ddd")="Sun",AJ$13="",$D282=""),"",IF('Leave Planner'!AH283="",1,0))</f>
        <v/>
      </c>
    </row>
    <row r="283" spans="2:36" x14ac:dyDescent="0.75">
      <c r="B283" s="15"/>
      <c r="C283" s="22"/>
      <c r="D283" s="22"/>
      <c r="E283" s="42" t="str">
        <f t="shared" si="9"/>
        <v/>
      </c>
      <c r="F283" s="17" t="str">
        <f>IF(OR(TEXT(F$13,"ddd")="Sun",F$13="",$D283=""),"",IF('Leave Planner'!D284="",1,0))</f>
        <v/>
      </c>
      <c r="G283" s="17" t="str">
        <f>IF(OR(TEXT(G$13,"ddd")="Sun",G$13="",$D283=""),"",IF('Leave Planner'!E284="",1,0))</f>
        <v/>
      </c>
      <c r="H283" s="17" t="str">
        <f>IF(OR(TEXT(H$13,"ddd")="Sun",H$13="",$D283=""),"",IF('Leave Planner'!F284="",1,0))</f>
        <v/>
      </c>
      <c r="I283" s="17" t="str">
        <f>IF(OR(TEXT(I$13,"ddd")="Sun",I$13="",$D283=""),"",IF('Leave Planner'!G284="",1,0))</f>
        <v/>
      </c>
      <c r="J283" s="17" t="str">
        <f>IF(OR(TEXT(J$13,"ddd")="Sun",J$13="",$D283=""),"",IF('Leave Planner'!H284="",1,0))</f>
        <v/>
      </c>
      <c r="K283" s="17" t="str">
        <f>IF(OR(TEXT(K$13,"ddd")="Sun",K$13="",$D283=""),"",IF('Leave Planner'!I284="",1,0))</f>
        <v/>
      </c>
      <c r="L283" s="17" t="str">
        <f>IF(OR(TEXT(L$13,"ddd")="Sun",L$13="",$D283=""),"",IF('Leave Planner'!J284="",1,0))</f>
        <v/>
      </c>
      <c r="M283" s="17" t="str">
        <f>IF(OR(TEXT(M$13,"ddd")="Sun",M$13="",$D283=""),"",IF('Leave Planner'!K284="",1,0))</f>
        <v/>
      </c>
      <c r="N283" s="17" t="str">
        <f>IF(OR(TEXT(N$13,"ddd")="Sun",N$13="",$D283=""),"",IF('Leave Planner'!L284="",1,0))</f>
        <v/>
      </c>
      <c r="O283" s="17" t="str">
        <f>IF(OR(TEXT(O$13,"ddd")="Sun",O$13="",$D283=""),"",IF('Leave Planner'!M284="",1,0))</f>
        <v/>
      </c>
      <c r="P283" s="17" t="str">
        <f>IF(OR(TEXT(P$13,"ddd")="Sun",P$13="",$D283=""),"",IF('Leave Planner'!N284="",1,0))</f>
        <v/>
      </c>
      <c r="Q283" s="17" t="str">
        <f>IF(OR(TEXT(Q$13,"ddd")="Sun",Q$13="",$D283=""),"",IF('Leave Planner'!O284="",1,0))</f>
        <v/>
      </c>
      <c r="R283" s="17" t="str">
        <f>IF(OR(TEXT(R$13,"ddd")="Sun",R$13="",$D283=""),"",IF('Leave Planner'!P284="",1,0))</f>
        <v/>
      </c>
      <c r="S283" s="17" t="str">
        <f>IF(OR(TEXT(S$13,"ddd")="Sun",S$13="",$D283=""),"",IF('Leave Planner'!Q284="",1,0))</f>
        <v/>
      </c>
      <c r="T283" s="17" t="str">
        <f>IF(OR(TEXT(T$13,"ddd")="Sun",T$13="",$D283=""),"",IF('Leave Planner'!R284="",1,0))</f>
        <v/>
      </c>
      <c r="U283" s="17" t="str">
        <f>IF(OR(TEXT(U$13,"ddd")="Sun",U$13="",$D283=""),"",IF('Leave Planner'!S284="",1,0))</f>
        <v/>
      </c>
      <c r="V283" s="17" t="str">
        <f>IF(OR(TEXT(V$13,"ddd")="Sun",V$13="",$D283=""),"",IF('Leave Planner'!T284="",1,0))</f>
        <v/>
      </c>
      <c r="W283" s="17" t="str">
        <f>IF(OR(TEXT(W$13,"ddd")="Sun",W$13="",$D283=""),"",IF('Leave Planner'!U284="",1,0))</f>
        <v/>
      </c>
      <c r="X283" s="17" t="str">
        <f>IF(OR(TEXT(X$13,"ddd")="Sun",X$13="",$D283=""),"",IF('Leave Planner'!V284="",1,0))</f>
        <v/>
      </c>
      <c r="Y283" s="17" t="str">
        <f>IF(OR(TEXT(Y$13,"ddd")="Sun",Y$13="",$D283=""),"",IF('Leave Planner'!W284="",1,0))</f>
        <v/>
      </c>
      <c r="Z283" s="17" t="str">
        <f>IF(OR(TEXT(Z$13,"ddd")="Sun",Z$13="",$D283=""),"",IF('Leave Planner'!X284="",1,0))</f>
        <v/>
      </c>
      <c r="AA283" s="17" t="str">
        <f>IF(OR(TEXT(AA$13,"ddd")="Sun",AA$13="",$D283=""),"",IF('Leave Planner'!Y284="",1,0))</f>
        <v/>
      </c>
      <c r="AB283" s="17" t="str">
        <f>IF(OR(TEXT(AB$13,"ddd")="Sun",AB$13="",$D283=""),"",IF('Leave Planner'!Z284="",1,0))</f>
        <v/>
      </c>
      <c r="AC283" s="17" t="str">
        <f>IF(OR(TEXT(AC$13,"ddd")="Sun",AC$13="",$D283=""),"",IF('Leave Planner'!AA284="",1,0))</f>
        <v/>
      </c>
      <c r="AD283" s="17" t="str">
        <f>IF(OR(TEXT(AD$13,"ddd")="Sun",AD$13="",$D283=""),"",IF('Leave Planner'!AB284="",1,0))</f>
        <v/>
      </c>
      <c r="AE283" s="17" t="str">
        <f>IF(OR(TEXT(AE$13,"ddd")="Sun",AE$13="",$D283=""),"",IF('Leave Planner'!AC284="",1,0))</f>
        <v/>
      </c>
      <c r="AF283" s="17" t="str">
        <f>IF(OR(TEXT(AF$13,"ddd")="Sun",AF$13="",$D283=""),"",IF('Leave Planner'!AD284="",1,0))</f>
        <v/>
      </c>
      <c r="AG283" s="17" t="str">
        <f>IF(OR(TEXT(AG$13,"ddd")="Sun",AG$13="",$D283=""),"",IF('Leave Planner'!AE284="",1,0))</f>
        <v/>
      </c>
      <c r="AH283" s="17" t="str">
        <f>IF(OR(TEXT(AH$13,"ddd")="Sun",AH$13="",$D283=""),"",IF('Leave Planner'!AF284="",1,0))</f>
        <v/>
      </c>
      <c r="AI283" s="17" t="str">
        <f>IF(OR(TEXT(AI$13,"ddd")="Sun",AI$13="",$D283=""),"",IF('Leave Planner'!AG284="",1,0))</f>
        <v/>
      </c>
      <c r="AJ283" s="17" t="str">
        <f>IF(OR(TEXT(AJ$13,"ddd")="Sun",AJ$13="",$D283=""),"",IF('Leave Planner'!AH284="",1,0))</f>
        <v/>
      </c>
    </row>
    <row r="284" spans="2:36" x14ac:dyDescent="0.75">
      <c r="B284" s="15"/>
      <c r="C284" s="22"/>
      <c r="D284" s="22"/>
      <c r="E284" s="42" t="str">
        <f t="shared" si="9"/>
        <v/>
      </c>
      <c r="F284" s="17" t="str">
        <f>IF(OR(TEXT(F$13,"ddd")="Sun",F$13="",$D284=""),"",IF('Leave Planner'!D285="",1,0))</f>
        <v/>
      </c>
      <c r="G284" s="17" t="str">
        <f>IF(OR(TEXT(G$13,"ddd")="Sun",G$13="",$D284=""),"",IF('Leave Planner'!E285="",1,0))</f>
        <v/>
      </c>
      <c r="H284" s="17" t="str">
        <f>IF(OR(TEXT(H$13,"ddd")="Sun",H$13="",$D284=""),"",IF('Leave Planner'!F285="",1,0))</f>
        <v/>
      </c>
      <c r="I284" s="17" t="str">
        <f>IF(OR(TEXT(I$13,"ddd")="Sun",I$13="",$D284=""),"",IF('Leave Planner'!G285="",1,0))</f>
        <v/>
      </c>
      <c r="J284" s="17" t="str">
        <f>IF(OR(TEXT(J$13,"ddd")="Sun",J$13="",$D284=""),"",IF('Leave Planner'!H285="",1,0))</f>
        <v/>
      </c>
      <c r="K284" s="17" t="str">
        <f>IF(OR(TEXT(K$13,"ddd")="Sun",K$13="",$D284=""),"",IF('Leave Planner'!I285="",1,0))</f>
        <v/>
      </c>
      <c r="L284" s="17" t="str">
        <f>IF(OR(TEXT(L$13,"ddd")="Sun",L$13="",$D284=""),"",IF('Leave Planner'!J285="",1,0))</f>
        <v/>
      </c>
      <c r="M284" s="17" t="str">
        <f>IF(OR(TEXT(M$13,"ddd")="Sun",M$13="",$D284=""),"",IF('Leave Planner'!K285="",1,0))</f>
        <v/>
      </c>
      <c r="N284" s="17" t="str">
        <f>IF(OR(TEXT(N$13,"ddd")="Sun",N$13="",$D284=""),"",IF('Leave Planner'!L285="",1,0))</f>
        <v/>
      </c>
      <c r="O284" s="17" t="str">
        <f>IF(OR(TEXT(O$13,"ddd")="Sun",O$13="",$D284=""),"",IF('Leave Planner'!M285="",1,0))</f>
        <v/>
      </c>
      <c r="P284" s="17" t="str">
        <f>IF(OR(TEXT(P$13,"ddd")="Sun",P$13="",$D284=""),"",IF('Leave Planner'!N285="",1,0))</f>
        <v/>
      </c>
      <c r="Q284" s="17" t="str">
        <f>IF(OR(TEXT(Q$13,"ddd")="Sun",Q$13="",$D284=""),"",IF('Leave Planner'!O285="",1,0))</f>
        <v/>
      </c>
      <c r="R284" s="17" t="str">
        <f>IF(OR(TEXT(R$13,"ddd")="Sun",R$13="",$D284=""),"",IF('Leave Planner'!P285="",1,0))</f>
        <v/>
      </c>
      <c r="S284" s="17" t="str">
        <f>IF(OR(TEXT(S$13,"ddd")="Sun",S$13="",$D284=""),"",IF('Leave Planner'!Q285="",1,0))</f>
        <v/>
      </c>
      <c r="T284" s="17" t="str">
        <f>IF(OR(TEXT(T$13,"ddd")="Sun",T$13="",$D284=""),"",IF('Leave Planner'!R285="",1,0))</f>
        <v/>
      </c>
      <c r="U284" s="17" t="str">
        <f>IF(OR(TEXT(U$13,"ddd")="Sun",U$13="",$D284=""),"",IF('Leave Planner'!S285="",1,0))</f>
        <v/>
      </c>
      <c r="V284" s="17" t="str">
        <f>IF(OR(TEXT(V$13,"ddd")="Sun",V$13="",$D284=""),"",IF('Leave Planner'!T285="",1,0))</f>
        <v/>
      </c>
      <c r="W284" s="17" t="str">
        <f>IF(OR(TEXT(W$13,"ddd")="Sun",W$13="",$D284=""),"",IF('Leave Planner'!U285="",1,0))</f>
        <v/>
      </c>
      <c r="X284" s="17" t="str">
        <f>IF(OR(TEXT(X$13,"ddd")="Sun",X$13="",$D284=""),"",IF('Leave Planner'!V285="",1,0))</f>
        <v/>
      </c>
      <c r="Y284" s="17" t="str">
        <f>IF(OR(TEXT(Y$13,"ddd")="Sun",Y$13="",$D284=""),"",IF('Leave Planner'!W285="",1,0))</f>
        <v/>
      </c>
      <c r="Z284" s="17" t="str">
        <f>IF(OR(TEXT(Z$13,"ddd")="Sun",Z$13="",$D284=""),"",IF('Leave Planner'!X285="",1,0))</f>
        <v/>
      </c>
      <c r="AA284" s="17" t="str">
        <f>IF(OR(TEXT(AA$13,"ddd")="Sun",AA$13="",$D284=""),"",IF('Leave Planner'!Y285="",1,0))</f>
        <v/>
      </c>
      <c r="AB284" s="17" t="str">
        <f>IF(OR(TEXT(AB$13,"ddd")="Sun",AB$13="",$D284=""),"",IF('Leave Planner'!Z285="",1,0))</f>
        <v/>
      </c>
      <c r="AC284" s="17" t="str">
        <f>IF(OR(TEXT(AC$13,"ddd")="Sun",AC$13="",$D284=""),"",IF('Leave Planner'!AA285="",1,0))</f>
        <v/>
      </c>
      <c r="AD284" s="17" t="str">
        <f>IF(OR(TEXT(AD$13,"ddd")="Sun",AD$13="",$D284=""),"",IF('Leave Planner'!AB285="",1,0))</f>
        <v/>
      </c>
      <c r="AE284" s="17" t="str">
        <f>IF(OR(TEXT(AE$13,"ddd")="Sun",AE$13="",$D284=""),"",IF('Leave Planner'!AC285="",1,0))</f>
        <v/>
      </c>
      <c r="AF284" s="17" t="str">
        <f>IF(OR(TEXT(AF$13,"ddd")="Sun",AF$13="",$D284=""),"",IF('Leave Planner'!AD285="",1,0))</f>
        <v/>
      </c>
      <c r="AG284" s="17" t="str">
        <f>IF(OR(TEXT(AG$13,"ddd")="Sun",AG$13="",$D284=""),"",IF('Leave Planner'!AE285="",1,0))</f>
        <v/>
      </c>
      <c r="AH284" s="17" t="str">
        <f>IF(OR(TEXT(AH$13,"ddd")="Sun",AH$13="",$D284=""),"",IF('Leave Planner'!AF285="",1,0))</f>
        <v/>
      </c>
      <c r="AI284" s="17" t="str">
        <f>IF(OR(TEXT(AI$13,"ddd")="Sun",AI$13="",$D284=""),"",IF('Leave Planner'!AG285="",1,0))</f>
        <v/>
      </c>
      <c r="AJ284" s="17" t="str">
        <f>IF(OR(TEXT(AJ$13,"ddd")="Sun",AJ$13="",$D284=""),"",IF('Leave Planner'!AH285="",1,0))</f>
        <v/>
      </c>
    </row>
    <row r="285" spans="2:36" x14ac:dyDescent="0.75">
      <c r="B285" s="15"/>
      <c r="C285" s="22"/>
      <c r="D285" s="22"/>
      <c r="E285" s="42" t="str">
        <f t="shared" si="9"/>
        <v/>
      </c>
      <c r="F285" s="17" t="str">
        <f>IF(OR(TEXT(F$13,"ddd")="Sun",F$13="",$D285=""),"",IF('Leave Planner'!D286="",1,0))</f>
        <v/>
      </c>
      <c r="G285" s="17" t="str">
        <f>IF(OR(TEXT(G$13,"ddd")="Sun",G$13="",$D285=""),"",IF('Leave Planner'!E286="",1,0))</f>
        <v/>
      </c>
      <c r="H285" s="17" t="str">
        <f>IF(OR(TEXT(H$13,"ddd")="Sun",H$13="",$D285=""),"",IF('Leave Planner'!F286="",1,0))</f>
        <v/>
      </c>
      <c r="I285" s="17" t="str">
        <f>IF(OR(TEXT(I$13,"ddd")="Sun",I$13="",$D285=""),"",IF('Leave Planner'!G286="",1,0))</f>
        <v/>
      </c>
      <c r="J285" s="17" t="str">
        <f>IF(OR(TEXT(J$13,"ddd")="Sun",J$13="",$D285=""),"",IF('Leave Planner'!H286="",1,0))</f>
        <v/>
      </c>
      <c r="K285" s="17" t="str">
        <f>IF(OR(TEXT(K$13,"ddd")="Sun",K$13="",$D285=""),"",IF('Leave Planner'!I286="",1,0))</f>
        <v/>
      </c>
      <c r="L285" s="17" t="str">
        <f>IF(OR(TEXT(L$13,"ddd")="Sun",L$13="",$D285=""),"",IF('Leave Planner'!J286="",1,0))</f>
        <v/>
      </c>
      <c r="M285" s="17" t="str">
        <f>IF(OR(TEXT(M$13,"ddd")="Sun",M$13="",$D285=""),"",IF('Leave Planner'!K286="",1,0))</f>
        <v/>
      </c>
      <c r="N285" s="17" t="str">
        <f>IF(OR(TEXT(N$13,"ddd")="Sun",N$13="",$D285=""),"",IF('Leave Planner'!L286="",1,0))</f>
        <v/>
      </c>
      <c r="O285" s="17" t="str">
        <f>IF(OR(TEXT(O$13,"ddd")="Sun",O$13="",$D285=""),"",IF('Leave Planner'!M286="",1,0))</f>
        <v/>
      </c>
      <c r="P285" s="17" t="str">
        <f>IF(OR(TEXT(P$13,"ddd")="Sun",P$13="",$D285=""),"",IF('Leave Planner'!N286="",1,0))</f>
        <v/>
      </c>
      <c r="Q285" s="17" t="str">
        <f>IF(OR(TEXT(Q$13,"ddd")="Sun",Q$13="",$D285=""),"",IF('Leave Planner'!O286="",1,0))</f>
        <v/>
      </c>
      <c r="R285" s="17" t="str">
        <f>IF(OR(TEXT(R$13,"ddd")="Sun",R$13="",$D285=""),"",IF('Leave Planner'!P286="",1,0))</f>
        <v/>
      </c>
      <c r="S285" s="17" t="str">
        <f>IF(OR(TEXT(S$13,"ddd")="Sun",S$13="",$D285=""),"",IF('Leave Planner'!Q286="",1,0))</f>
        <v/>
      </c>
      <c r="T285" s="17" t="str">
        <f>IF(OR(TEXT(T$13,"ddd")="Sun",T$13="",$D285=""),"",IF('Leave Planner'!R286="",1,0))</f>
        <v/>
      </c>
      <c r="U285" s="17" t="str">
        <f>IF(OR(TEXT(U$13,"ddd")="Sun",U$13="",$D285=""),"",IF('Leave Planner'!S286="",1,0))</f>
        <v/>
      </c>
      <c r="V285" s="17" t="str">
        <f>IF(OR(TEXT(V$13,"ddd")="Sun",V$13="",$D285=""),"",IF('Leave Planner'!T286="",1,0))</f>
        <v/>
      </c>
      <c r="W285" s="17" t="str">
        <f>IF(OR(TEXT(W$13,"ddd")="Sun",W$13="",$D285=""),"",IF('Leave Planner'!U286="",1,0))</f>
        <v/>
      </c>
      <c r="X285" s="17" t="str">
        <f>IF(OR(TEXT(X$13,"ddd")="Sun",X$13="",$D285=""),"",IF('Leave Planner'!V286="",1,0))</f>
        <v/>
      </c>
      <c r="Y285" s="17" t="str">
        <f>IF(OR(TEXT(Y$13,"ddd")="Sun",Y$13="",$D285=""),"",IF('Leave Planner'!W286="",1,0))</f>
        <v/>
      </c>
      <c r="Z285" s="17" t="str">
        <f>IF(OR(TEXT(Z$13,"ddd")="Sun",Z$13="",$D285=""),"",IF('Leave Planner'!X286="",1,0))</f>
        <v/>
      </c>
      <c r="AA285" s="17" t="str">
        <f>IF(OR(TEXT(AA$13,"ddd")="Sun",AA$13="",$D285=""),"",IF('Leave Planner'!Y286="",1,0))</f>
        <v/>
      </c>
      <c r="AB285" s="17" t="str">
        <f>IF(OR(TEXT(AB$13,"ddd")="Sun",AB$13="",$D285=""),"",IF('Leave Planner'!Z286="",1,0))</f>
        <v/>
      </c>
      <c r="AC285" s="17" t="str">
        <f>IF(OR(TEXT(AC$13,"ddd")="Sun",AC$13="",$D285=""),"",IF('Leave Planner'!AA286="",1,0))</f>
        <v/>
      </c>
      <c r="AD285" s="17" t="str">
        <f>IF(OR(TEXT(AD$13,"ddd")="Sun",AD$13="",$D285=""),"",IF('Leave Planner'!AB286="",1,0))</f>
        <v/>
      </c>
      <c r="AE285" s="17" t="str">
        <f>IF(OR(TEXT(AE$13,"ddd")="Sun",AE$13="",$D285=""),"",IF('Leave Planner'!AC286="",1,0))</f>
        <v/>
      </c>
      <c r="AF285" s="17" t="str">
        <f>IF(OR(TEXT(AF$13,"ddd")="Sun",AF$13="",$D285=""),"",IF('Leave Planner'!AD286="",1,0))</f>
        <v/>
      </c>
      <c r="AG285" s="17" t="str">
        <f>IF(OR(TEXT(AG$13,"ddd")="Sun",AG$13="",$D285=""),"",IF('Leave Planner'!AE286="",1,0))</f>
        <v/>
      </c>
      <c r="AH285" s="17" t="str">
        <f>IF(OR(TEXT(AH$13,"ddd")="Sun",AH$13="",$D285=""),"",IF('Leave Planner'!AF286="",1,0))</f>
        <v/>
      </c>
      <c r="AI285" s="17" t="str">
        <f>IF(OR(TEXT(AI$13,"ddd")="Sun",AI$13="",$D285=""),"",IF('Leave Planner'!AG286="",1,0))</f>
        <v/>
      </c>
      <c r="AJ285" s="17" t="str">
        <f>IF(OR(TEXT(AJ$13,"ddd")="Sun",AJ$13="",$D285=""),"",IF('Leave Planner'!AH286="",1,0))</f>
        <v/>
      </c>
    </row>
    <row r="286" spans="2:36" x14ac:dyDescent="0.75">
      <c r="B286" s="15"/>
      <c r="C286" s="22"/>
      <c r="D286" s="22"/>
      <c r="E286" s="42" t="str">
        <f t="shared" si="9"/>
        <v/>
      </c>
      <c r="F286" s="17" t="str">
        <f>IF(OR(TEXT(F$13,"ddd")="Sun",F$13="",$D286=""),"",IF('Leave Planner'!D287="",1,0))</f>
        <v/>
      </c>
      <c r="G286" s="17" t="str">
        <f>IF(OR(TEXT(G$13,"ddd")="Sun",G$13="",$D286=""),"",IF('Leave Planner'!E287="",1,0))</f>
        <v/>
      </c>
      <c r="H286" s="17" t="str">
        <f>IF(OR(TEXT(H$13,"ddd")="Sun",H$13="",$D286=""),"",IF('Leave Planner'!F287="",1,0))</f>
        <v/>
      </c>
      <c r="I286" s="17" t="str">
        <f>IF(OR(TEXT(I$13,"ddd")="Sun",I$13="",$D286=""),"",IF('Leave Planner'!G287="",1,0))</f>
        <v/>
      </c>
      <c r="J286" s="17" t="str">
        <f>IF(OR(TEXT(J$13,"ddd")="Sun",J$13="",$D286=""),"",IF('Leave Planner'!H287="",1,0))</f>
        <v/>
      </c>
      <c r="K286" s="17" t="str">
        <f>IF(OR(TEXT(K$13,"ddd")="Sun",K$13="",$D286=""),"",IF('Leave Planner'!I287="",1,0))</f>
        <v/>
      </c>
      <c r="L286" s="17" t="str">
        <f>IF(OR(TEXT(L$13,"ddd")="Sun",L$13="",$D286=""),"",IF('Leave Planner'!J287="",1,0))</f>
        <v/>
      </c>
      <c r="M286" s="17" t="str">
        <f>IF(OR(TEXT(M$13,"ddd")="Sun",M$13="",$D286=""),"",IF('Leave Planner'!K287="",1,0))</f>
        <v/>
      </c>
      <c r="N286" s="17" t="str">
        <f>IF(OR(TEXT(N$13,"ddd")="Sun",N$13="",$D286=""),"",IF('Leave Planner'!L287="",1,0))</f>
        <v/>
      </c>
      <c r="O286" s="17" t="str">
        <f>IF(OR(TEXT(O$13,"ddd")="Sun",O$13="",$D286=""),"",IF('Leave Planner'!M287="",1,0))</f>
        <v/>
      </c>
      <c r="P286" s="17" t="str">
        <f>IF(OR(TEXT(P$13,"ddd")="Sun",P$13="",$D286=""),"",IF('Leave Planner'!N287="",1,0))</f>
        <v/>
      </c>
      <c r="Q286" s="17" t="str">
        <f>IF(OR(TEXT(Q$13,"ddd")="Sun",Q$13="",$D286=""),"",IF('Leave Planner'!O287="",1,0))</f>
        <v/>
      </c>
      <c r="R286" s="17" t="str">
        <f>IF(OR(TEXT(R$13,"ddd")="Sun",R$13="",$D286=""),"",IF('Leave Planner'!P287="",1,0))</f>
        <v/>
      </c>
      <c r="S286" s="17" t="str">
        <f>IF(OR(TEXT(S$13,"ddd")="Sun",S$13="",$D286=""),"",IF('Leave Planner'!Q287="",1,0))</f>
        <v/>
      </c>
      <c r="T286" s="17" t="str">
        <f>IF(OR(TEXT(T$13,"ddd")="Sun",T$13="",$D286=""),"",IF('Leave Planner'!R287="",1,0))</f>
        <v/>
      </c>
      <c r="U286" s="17" t="str">
        <f>IF(OR(TEXT(U$13,"ddd")="Sun",U$13="",$D286=""),"",IF('Leave Planner'!S287="",1,0))</f>
        <v/>
      </c>
      <c r="V286" s="17" t="str">
        <f>IF(OR(TEXT(V$13,"ddd")="Sun",V$13="",$D286=""),"",IF('Leave Planner'!T287="",1,0))</f>
        <v/>
      </c>
      <c r="W286" s="17" t="str">
        <f>IF(OR(TEXT(W$13,"ddd")="Sun",W$13="",$D286=""),"",IF('Leave Planner'!U287="",1,0))</f>
        <v/>
      </c>
      <c r="X286" s="17" t="str">
        <f>IF(OR(TEXT(X$13,"ddd")="Sun",X$13="",$D286=""),"",IF('Leave Planner'!V287="",1,0))</f>
        <v/>
      </c>
      <c r="Y286" s="17" t="str">
        <f>IF(OR(TEXT(Y$13,"ddd")="Sun",Y$13="",$D286=""),"",IF('Leave Planner'!W287="",1,0))</f>
        <v/>
      </c>
      <c r="Z286" s="17" t="str">
        <f>IF(OR(TEXT(Z$13,"ddd")="Sun",Z$13="",$D286=""),"",IF('Leave Planner'!X287="",1,0))</f>
        <v/>
      </c>
      <c r="AA286" s="17" t="str">
        <f>IF(OR(TEXT(AA$13,"ddd")="Sun",AA$13="",$D286=""),"",IF('Leave Planner'!Y287="",1,0))</f>
        <v/>
      </c>
      <c r="AB286" s="17" t="str">
        <f>IF(OR(TEXT(AB$13,"ddd")="Sun",AB$13="",$D286=""),"",IF('Leave Planner'!Z287="",1,0))</f>
        <v/>
      </c>
      <c r="AC286" s="17" t="str">
        <f>IF(OR(TEXT(AC$13,"ddd")="Sun",AC$13="",$D286=""),"",IF('Leave Planner'!AA287="",1,0))</f>
        <v/>
      </c>
      <c r="AD286" s="17" t="str">
        <f>IF(OR(TEXT(AD$13,"ddd")="Sun",AD$13="",$D286=""),"",IF('Leave Planner'!AB287="",1,0))</f>
        <v/>
      </c>
      <c r="AE286" s="17" t="str">
        <f>IF(OR(TEXT(AE$13,"ddd")="Sun",AE$13="",$D286=""),"",IF('Leave Planner'!AC287="",1,0))</f>
        <v/>
      </c>
      <c r="AF286" s="17" t="str">
        <f>IF(OR(TEXT(AF$13,"ddd")="Sun",AF$13="",$D286=""),"",IF('Leave Planner'!AD287="",1,0))</f>
        <v/>
      </c>
      <c r="AG286" s="17" t="str">
        <f>IF(OR(TEXT(AG$13,"ddd")="Sun",AG$13="",$D286=""),"",IF('Leave Planner'!AE287="",1,0))</f>
        <v/>
      </c>
      <c r="AH286" s="17" t="str">
        <f>IF(OR(TEXT(AH$13,"ddd")="Sun",AH$13="",$D286=""),"",IF('Leave Planner'!AF287="",1,0))</f>
        <v/>
      </c>
      <c r="AI286" s="17" t="str">
        <f>IF(OR(TEXT(AI$13,"ddd")="Sun",AI$13="",$D286=""),"",IF('Leave Planner'!AG287="",1,0))</f>
        <v/>
      </c>
      <c r="AJ286" s="17" t="str">
        <f>IF(OR(TEXT(AJ$13,"ddd")="Sun",AJ$13="",$D286=""),"",IF('Leave Planner'!AH287="",1,0))</f>
        <v/>
      </c>
    </row>
    <row r="287" spans="2:36" x14ac:dyDescent="0.75">
      <c r="B287" s="15"/>
      <c r="C287" s="22"/>
      <c r="D287" s="22"/>
      <c r="E287" s="42" t="str">
        <f t="shared" si="9"/>
        <v/>
      </c>
      <c r="F287" s="17" t="str">
        <f>IF(OR(TEXT(F$13,"ddd")="Sun",F$13="",$D287=""),"",IF('Leave Planner'!D288="",1,0))</f>
        <v/>
      </c>
      <c r="G287" s="17" t="str">
        <f>IF(OR(TEXT(G$13,"ddd")="Sun",G$13="",$D287=""),"",IF('Leave Planner'!E288="",1,0))</f>
        <v/>
      </c>
      <c r="H287" s="17" t="str">
        <f>IF(OR(TEXT(H$13,"ddd")="Sun",H$13="",$D287=""),"",IF('Leave Planner'!F288="",1,0))</f>
        <v/>
      </c>
      <c r="I287" s="17" t="str">
        <f>IF(OR(TEXT(I$13,"ddd")="Sun",I$13="",$D287=""),"",IF('Leave Planner'!G288="",1,0))</f>
        <v/>
      </c>
      <c r="J287" s="17" t="str">
        <f>IF(OR(TEXT(J$13,"ddd")="Sun",J$13="",$D287=""),"",IF('Leave Planner'!H288="",1,0))</f>
        <v/>
      </c>
      <c r="K287" s="17" t="str">
        <f>IF(OR(TEXT(K$13,"ddd")="Sun",K$13="",$D287=""),"",IF('Leave Planner'!I288="",1,0))</f>
        <v/>
      </c>
      <c r="L287" s="17" t="str">
        <f>IF(OR(TEXT(L$13,"ddd")="Sun",L$13="",$D287=""),"",IF('Leave Planner'!J288="",1,0))</f>
        <v/>
      </c>
      <c r="M287" s="17" t="str">
        <f>IF(OR(TEXT(M$13,"ddd")="Sun",M$13="",$D287=""),"",IF('Leave Planner'!K288="",1,0))</f>
        <v/>
      </c>
      <c r="N287" s="17" t="str">
        <f>IF(OR(TEXT(N$13,"ddd")="Sun",N$13="",$D287=""),"",IF('Leave Planner'!L288="",1,0))</f>
        <v/>
      </c>
      <c r="O287" s="17" t="str">
        <f>IF(OR(TEXT(O$13,"ddd")="Sun",O$13="",$D287=""),"",IF('Leave Planner'!M288="",1,0))</f>
        <v/>
      </c>
      <c r="P287" s="17" t="str">
        <f>IF(OR(TEXT(P$13,"ddd")="Sun",P$13="",$D287=""),"",IF('Leave Planner'!N288="",1,0))</f>
        <v/>
      </c>
      <c r="Q287" s="17" t="str">
        <f>IF(OR(TEXT(Q$13,"ddd")="Sun",Q$13="",$D287=""),"",IF('Leave Planner'!O288="",1,0))</f>
        <v/>
      </c>
      <c r="R287" s="17" t="str">
        <f>IF(OR(TEXT(R$13,"ddd")="Sun",R$13="",$D287=""),"",IF('Leave Planner'!P288="",1,0))</f>
        <v/>
      </c>
      <c r="S287" s="17" t="str">
        <f>IF(OR(TEXT(S$13,"ddd")="Sun",S$13="",$D287=""),"",IF('Leave Planner'!Q288="",1,0))</f>
        <v/>
      </c>
      <c r="T287" s="17" t="str">
        <f>IF(OR(TEXT(T$13,"ddd")="Sun",T$13="",$D287=""),"",IF('Leave Planner'!R288="",1,0))</f>
        <v/>
      </c>
      <c r="U287" s="17" t="str">
        <f>IF(OR(TEXT(U$13,"ddd")="Sun",U$13="",$D287=""),"",IF('Leave Planner'!S288="",1,0))</f>
        <v/>
      </c>
      <c r="V287" s="17" t="str">
        <f>IF(OR(TEXT(V$13,"ddd")="Sun",V$13="",$D287=""),"",IF('Leave Planner'!T288="",1,0))</f>
        <v/>
      </c>
      <c r="W287" s="17" t="str">
        <f>IF(OR(TEXT(W$13,"ddd")="Sun",W$13="",$D287=""),"",IF('Leave Planner'!U288="",1,0))</f>
        <v/>
      </c>
      <c r="X287" s="17" t="str">
        <f>IF(OR(TEXT(X$13,"ddd")="Sun",X$13="",$D287=""),"",IF('Leave Planner'!V288="",1,0))</f>
        <v/>
      </c>
      <c r="Y287" s="17" t="str">
        <f>IF(OR(TEXT(Y$13,"ddd")="Sun",Y$13="",$D287=""),"",IF('Leave Planner'!W288="",1,0))</f>
        <v/>
      </c>
      <c r="Z287" s="17" t="str">
        <f>IF(OR(TEXT(Z$13,"ddd")="Sun",Z$13="",$D287=""),"",IF('Leave Planner'!X288="",1,0))</f>
        <v/>
      </c>
      <c r="AA287" s="17" t="str">
        <f>IF(OR(TEXT(AA$13,"ddd")="Sun",AA$13="",$D287=""),"",IF('Leave Planner'!Y288="",1,0))</f>
        <v/>
      </c>
      <c r="AB287" s="17" t="str">
        <f>IF(OR(TEXT(AB$13,"ddd")="Sun",AB$13="",$D287=""),"",IF('Leave Planner'!Z288="",1,0))</f>
        <v/>
      </c>
      <c r="AC287" s="17" t="str">
        <f>IF(OR(TEXT(AC$13,"ddd")="Sun",AC$13="",$D287=""),"",IF('Leave Planner'!AA288="",1,0))</f>
        <v/>
      </c>
      <c r="AD287" s="17" t="str">
        <f>IF(OR(TEXT(AD$13,"ddd")="Sun",AD$13="",$D287=""),"",IF('Leave Planner'!AB288="",1,0))</f>
        <v/>
      </c>
      <c r="AE287" s="17" t="str">
        <f>IF(OR(TEXT(AE$13,"ddd")="Sun",AE$13="",$D287=""),"",IF('Leave Planner'!AC288="",1,0))</f>
        <v/>
      </c>
      <c r="AF287" s="17" t="str">
        <f>IF(OR(TEXT(AF$13,"ddd")="Sun",AF$13="",$D287=""),"",IF('Leave Planner'!AD288="",1,0))</f>
        <v/>
      </c>
      <c r="AG287" s="17" t="str">
        <f>IF(OR(TEXT(AG$13,"ddd")="Sun",AG$13="",$D287=""),"",IF('Leave Planner'!AE288="",1,0))</f>
        <v/>
      </c>
      <c r="AH287" s="17" t="str">
        <f>IF(OR(TEXT(AH$13,"ddd")="Sun",AH$13="",$D287=""),"",IF('Leave Planner'!AF288="",1,0))</f>
        <v/>
      </c>
      <c r="AI287" s="17" t="str">
        <f>IF(OR(TEXT(AI$13,"ddd")="Sun",AI$13="",$D287=""),"",IF('Leave Planner'!AG288="",1,0))</f>
        <v/>
      </c>
      <c r="AJ287" s="17" t="str">
        <f>IF(OR(TEXT(AJ$13,"ddd")="Sun",AJ$13="",$D287=""),"",IF('Leave Planner'!AH288="",1,0))</f>
        <v/>
      </c>
    </row>
    <row r="288" spans="2:36" x14ac:dyDescent="0.75">
      <c r="B288" s="15"/>
      <c r="C288" s="22"/>
      <c r="D288" s="22"/>
      <c r="E288" s="42" t="str">
        <f t="shared" si="9"/>
        <v/>
      </c>
      <c r="F288" s="17" t="str">
        <f>IF(OR(TEXT(F$13,"ddd")="Sun",F$13="",$D288=""),"",IF('Leave Planner'!D289="",1,0))</f>
        <v/>
      </c>
      <c r="G288" s="17" t="str">
        <f>IF(OR(TEXT(G$13,"ddd")="Sun",G$13="",$D288=""),"",IF('Leave Planner'!E289="",1,0))</f>
        <v/>
      </c>
      <c r="H288" s="17" t="str">
        <f>IF(OR(TEXT(H$13,"ddd")="Sun",H$13="",$D288=""),"",IF('Leave Planner'!F289="",1,0))</f>
        <v/>
      </c>
      <c r="I288" s="17" t="str">
        <f>IF(OR(TEXT(I$13,"ddd")="Sun",I$13="",$D288=""),"",IF('Leave Planner'!G289="",1,0))</f>
        <v/>
      </c>
      <c r="J288" s="17" t="str">
        <f>IF(OR(TEXT(J$13,"ddd")="Sun",J$13="",$D288=""),"",IF('Leave Planner'!H289="",1,0))</f>
        <v/>
      </c>
      <c r="K288" s="17" t="str">
        <f>IF(OR(TEXT(K$13,"ddd")="Sun",K$13="",$D288=""),"",IF('Leave Planner'!I289="",1,0))</f>
        <v/>
      </c>
      <c r="L288" s="17" t="str">
        <f>IF(OR(TEXT(L$13,"ddd")="Sun",L$13="",$D288=""),"",IF('Leave Planner'!J289="",1,0))</f>
        <v/>
      </c>
      <c r="M288" s="17" t="str">
        <f>IF(OR(TEXT(M$13,"ddd")="Sun",M$13="",$D288=""),"",IF('Leave Planner'!K289="",1,0))</f>
        <v/>
      </c>
      <c r="N288" s="17" t="str">
        <f>IF(OR(TEXT(N$13,"ddd")="Sun",N$13="",$D288=""),"",IF('Leave Planner'!L289="",1,0))</f>
        <v/>
      </c>
      <c r="O288" s="17" t="str">
        <f>IF(OR(TEXT(O$13,"ddd")="Sun",O$13="",$D288=""),"",IF('Leave Planner'!M289="",1,0))</f>
        <v/>
      </c>
      <c r="P288" s="17" t="str">
        <f>IF(OR(TEXT(P$13,"ddd")="Sun",P$13="",$D288=""),"",IF('Leave Planner'!N289="",1,0))</f>
        <v/>
      </c>
      <c r="Q288" s="17" t="str">
        <f>IF(OR(TEXT(Q$13,"ddd")="Sun",Q$13="",$D288=""),"",IF('Leave Planner'!O289="",1,0))</f>
        <v/>
      </c>
      <c r="R288" s="17" t="str">
        <f>IF(OR(TEXT(R$13,"ddd")="Sun",R$13="",$D288=""),"",IF('Leave Planner'!P289="",1,0))</f>
        <v/>
      </c>
      <c r="S288" s="17" t="str">
        <f>IF(OR(TEXT(S$13,"ddd")="Sun",S$13="",$D288=""),"",IF('Leave Planner'!Q289="",1,0))</f>
        <v/>
      </c>
      <c r="T288" s="17" t="str">
        <f>IF(OR(TEXT(T$13,"ddd")="Sun",T$13="",$D288=""),"",IF('Leave Planner'!R289="",1,0))</f>
        <v/>
      </c>
      <c r="U288" s="17" t="str">
        <f>IF(OR(TEXT(U$13,"ddd")="Sun",U$13="",$D288=""),"",IF('Leave Planner'!S289="",1,0))</f>
        <v/>
      </c>
      <c r="V288" s="17" t="str">
        <f>IF(OR(TEXT(V$13,"ddd")="Sun",V$13="",$D288=""),"",IF('Leave Planner'!T289="",1,0))</f>
        <v/>
      </c>
      <c r="W288" s="17" t="str">
        <f>IF(OR(TEXT(W$13,"ddd")="Sun",W$13="",$D288=""),"",IF('Leave Planner'!U289="",1,0))</f>
        <v/>
      </c>
      <c r="X288" s="17" t="str">
        <f>IF(OR(TEXT(X$13,"ddd")="Sun",X$13="",$D288=""),"",IF('Leave Planner'!V289="",1,0))</f>
        <v/>
      </c>
      <c r="Y288" s="17" t="str">
        <f>IF(OR(TEXT(Y$13,"ddd")="Sun",Y$13="",$D288=""),"",IF('Leave Planner'!W289="",1,0))</f>
        <v/>
      </c>
      <c r="Z288" s="17" t="str">
        <f>IF(OR(TEXT(Z$13,"ddd")="Sun",Z$13="",$D288=""),"",IF('Leave Planner'!X289="",1,0))</f>
        <v/>
      </c>
      <c r="AA288" s="17" t="str">
        <f>IF(OR(TEXT(AA$13,"ddd")="Sun",AA$13="",$D288=""),"",IF('Leave Planner'!Y289="",1,0))</f>
        <v/>
      </c>
      <c r="AB288" s="17" t="str">
        <f>IF(OR(TEXT(AB$13,"ddd")="Sun",AB$13="",$D288=""),"",IF('Leave Planner'!Z289="",1,0))</f>
        <v/>
      </c>
      <c r="AC288" s="17" t="str">
        <f>IF(OR(TEXT(AC$13,"ddd")="Sun",AC$13="",$D288=""),"",IF('Leave Planner'!AA289="",1,0))</f>
        <v/>
      </c>
      <c r="AD288" s="17" t="str">
        <f>IF(OR(TEXT(AD$13,"ddd")="Sun",AD$13="",$D288=""),"",IF('Leave Planner'!AB289="",1,0))</f>
        <v/>
      </c>
      <c r="AE288" s="17" t="str">
        <f>IF(OR(TEXT(AE$13,"ddd")="Sun",AE$13="",$D288=""),"",IF('Leave Planner'!AC289="",1,0))</f>
        <v/>
      </c>
      <c r="AF288" s="17" t="str">
        <f>IF(OR(TEXT(AF$13,"ddd")="Sun",AF$13="",$D288=""),"",IF('Leave Planner'!AD289="",1,0))</f>
        <v/>
      </c>
      <c r="AG288" s="17" t="str">
        <f>IF(OR(TEXT(AG$13,"ddd")="Sun",AG$13="",$D288=""),"",IF('Leave Planner'!AE289="",1,0))</f>
        <v/>
      </c>
      <c r="AH288" s="17" t="str">
        <f>IF(OR(TEXT(AH$13,"ddd")="Sun",AH$13="",$D288=""),"",IF('Leave Planner'!AF289="",1,0))</f>
        <v/>
      </c>
      <c r="AI288" s="17" t="str">
        <f>IF(OR(TEXT(AI$13,"ddd")="Sun",AI$13="",$D288=""),"",IF('Leave Planner'!AG289="",1,0))</f>
        <v/>
      </c>
      <c r="AJ288" s="17" t="str">
        <f>IF(OR(TEXT(AJ$13,"ddd")="Sun",AJ$13="",$D288=""),"",IF('Leave Planner'!AH289="",1,0))</f>
        <v/>
      </c>
    </row>
    <row r="289" spans="1:36" x14ac:dyDescent="0.75">
      <c r="B289" s="15"/>
      <c r="C289" s="22"/>
      <c r="D289" s="22"/>
      <c r="E289" s="42" t="str">
        <f t="shared" si="9"/>
        <v/>
      </c>
      <c r="F289" s="17" t="str">
        <f>IF(OR(TEXT(F$13,"ddd")="Sun",F$13="",$D289=""),"",IF('Leave Planner'!D290="",1,0))</f>
        <v/>
      </c>
      <c r="G289" s="17" t="str">
        <f>IF(OR(TEXT(G$13,"ddd")="Sun",G$13="",$D289=""),"",IF('Leave Planner'!E290="",1,0))</f>
        <v/>
      </c>
      <c r="H289" s="17" t="str">
        <f>IF(OR(TEXT(H$13,"ddd")="Sun",H$13="",$D289=""),"",IF('Leave Planner'!F290="",1,0))</f>
        <v/>
      </c>
      <c r="I289" s="17" t="str">
        <f>IF(OR(TEXT(I$13,"ddd")="Sun",I$13="",$D289=""),"",IF('Leave Planner'!G290="",1,0))</f>
        <v/>
      </c>
      <c r="J289" s="17" t="str">
        <f>IF(OR(TEXT(J$13,"ddd")="Sun",J$13="",$D289=""),"",IF('Leave Planner'!H290="",1,0))</f>
        <v/>
      </c>
      <c r="K289" s="17" t="str">
        <f>IF(OR(TEXT(K$13,"ddd")="Sun",K$13="",$D289=""),"",IF('Leave Planner'!I290="",1,0))</f>
        <v/>
      </c>
      <c r="L289" s="17" t="str">
        <f>IF(OR(TEXT(L$13,"ddd")="Sun",L$13="",$D289=""),"",IF('Leave Planner'!J290="",1,0))</f>
        <v/>
      </c>
      <c r="M289" s="17" t="str">
        <f>IF(OR(TEXT(M$13,"ddd")="Sun",M$13="",$D289=""),"",IF('Leave Planner'!K290="",1,0))</f>
        <v/>
      </c>
      <c r="N289" s="17" t="str">
        <f>IF(OR(TEXT(N$13,"ddd")="Sun",N$13="",$D289=""),"",IF('Leave Planner'!L290="",1,0))</f>
        <v/>
      </c>
      <c r="O289" s="17" t="str">
        <f>IF(OR(TEXT(O$13,"ddd")="Sun",O$13="",$D289=""),"",IF('Leave Planner'!M290="",1,0))</f>
        <v/>
      </c>
      <c r="P289" s="17" t="str">
        <f>IF(OR(TEXT(P$13,"ddd")="Sun",P$13="",$D289=""),"",IF('Leave Planner'!N290="",1,0))</f>
        <v/>
      </c>
      <c r="Q289" s="17" t="str">
        <f>IF(OR(TEXT(Q$13,"ddd")="Sun",Q$13="",$D289=""),"",IF('Leave Planner'!O290="",1,0))</f>
        <v/>
      </c>
      <c r="R289" s="17" t="str">
        <f>IF(OR(TEXT(R$13,"ddd")="Sun",R$13="",$D289=""),"",IF('Leave Planner'!P290="",1,0))</f>
        <v/>
      </c>
      <c r="S289" s="17" t="str">
        <f>IF(OR(TEXT(S$13,"ddd")="Sun",S$13="",$D289=""),"",IF('Leave Planner'!Q290="",1,0))</f>
        <v/>
      </c>
      <c r="T289" s="17" t="str">
        <f>IF(OR(TEXT(T$13,"ddd")="Sun",T$13="",$D289=""),"",IF('Leave Planner'!R290="",1,0))</f>
        <v/>
      </c>
      <c r="U289" s="17" t="str">
        <f>IF(OR(TEXT(U$13,"ddd")="Sun",U$13="",$D289=""),"",IF('Leave Planner'!S290="",1,0))</f>
        <v/>
      </c>
      <c r="V289" s="17" t="str">
        <f>IF(OR(TEXT(V$13,"ddd")="Sun",V$13="",$D289=""),"",IF('Leave Planner'!T290="",1,0))</f>
        <v/>
      </c>
      <c r="W289" s="17" t="str">
        <f>IF(OR(TEXT(W$13,"ddd")="Sun",W$13="",$D289=""),"",IF('Leave Planner'!U290="",1,0))</f>
        <v/>
      </c>
      <c r="X289" s="17" t="str">
        <f>IF(OR(TEXT(X$13,"ddd")="Sun",X$13="",$D289=""),"",IF('Leave Planner'!V290="",1,0))</f>
        <v/>
      </c>
      <c r="Y289" s="17" t="str">
        <f>IF(OR(TEXT(Y$13,"ddd")="Sun",Y$13="",$D289=""),"",IF('Leave Planner'!W290="",1,0))</f>
        <v/>
      </c>
      <c r="Z289" s="17" t="str">
        <f>IF(OR(TEXT(Z$13,"ddd")="Sun",Z$13="",$D289=""),"",IF('Leave Planner'!X290="",1,0))</f>
        <v/>
      </c>
      <c r="AA289" s="17" t="str">
        <f>IF(OR(TEXT(AA$13,"ddd")="Sun",AA$13="",$D289=""),"",IF('Leave Planner'!Y290="",1,0))</f>
        <v/>
      </c>
      <c r="AB289" s="17" t="str">
        <f>IF(OR(TEXT(AB$13,"ddd")="Sun",AB$13="",$D289=""),"",IF('Leave Planner'!Z290="",1,0))</f>
        <v/>
      </c>
      <c r="AC289" s="17" t="str">
        <f>IF(OR(TEXT(AC$13,"ddd")="Sun",AC$13="",$D289=""),"",IF('Leave Planner'!AA290="",1,0))</f>
        <v/>
      </c>
      <c r="AD289" s="17" t="str">
        <f>IF(OR(TEXT(AD$13,"ddd")="Sun",AD$13="",$D289=""),"",IF('Leave Planner'!AB290="",1,0))</f>
        <v/>
      </c>
      <c r="AE289" s="17" t="str">
        <f>IF(OR(TEXT(AE$13,"ddd")="Sun",AE$13="",$D289=""),"",IF('Leave Planner'!AC290="",1,0))</f>
        <v/>
      </c>
      <c r="AF289" s="17" t="str">
        <f>IF(OR(TEXT(AF$13,"ddd")="Sun",AF$13="",$D289=""),"",IF('Leave Planner'!AD290="",1,0))</f>
        <v/>
      </c>
      <c r="AG289" s="17" t="str">
        <f>IF(OR(TEXT(AG$13,"ddd")="Sun",AG$13="",$D289=""),"",IF('Leave Planner'!AE290="",1,0))</f>
        <v/>
      </c>
      <c r="AH289" s="17" t="str">
        <f>IF(OR(TEXT(AH$13,"ddd")="Sun",AH$13="",$D289=""),"",IF('Leave Planner'!AF290="",1,0))</f>
        <v/>
      </c>
      <c r="AI289" s="17" t="str">
        <f>IF(OR(TEXT(AI$13,"ddd")="Sun",AI$13="",$D289=""),"",IF('Leave Planner'!AG290="",1,0))</f>
        <v/>
      </c>
      <c r="AJ289" s="17" t="str">
        <f>IF(OR(TEXT(AJ$13,"ddd")="Sun",AJ$13="",$D289=""),"",IF('Leave Planner'!AH290="",1,0))</f>
        <v/>
      </c>
    </row>
    <row r="290" spans="1:36" x14ac:dyDescent="0.75">
      <c r="B290" s="15"/>
      <c r="C290" s="22"/>
      <c r="D290" s="22"/>
      <c r="E290" s="42" t="str">
        <f t="shared" si="9"/>
        <v/>
      </c>
      <c r="F290" s="17" t="str">
        <f>IF(OR(TEXT(F$13,"ddd")="Sun",F$13="",$D290=""),"",IF('Leave Planner'!D291="",1,0))</f>
        <v/>
      </c>
      <c r="G290" s="17" t="str">
        <f>IF(OR(TEXT(G$13,"ddd")="Sun",G$13="",$D290=""),"",IF('Leave Planner'!E291="",1,0))</f>
        <v/>
      </c>
      <c r="H290" s="17" t="str">
        <f>IF(OR(TEXT(H$13,"ddd")="Sun",H$13="",$D290=""),"",IF('Leave Planner'!F291="",1,0))</f>
        <v/>
      </c>
      <c r="I290" s="17" t="str">
        <f>IF(OR(TEXT(I$13,"ddd")="Sun",I$13="",$D290=""),"",IF('Leave Planner'!G291="",1,0))</f>
        <v/>
      </c>
      <c r="J290" s="17" t="str">
        <f>IF(OR(TEXT(J$13,"ddd")="Sun",J$13="",$D290=""),"",IF('Leave Planner'!H291="",1,0))</f>
        <v/>
      </c>
      <c r="K290" s="17" t="str">
        <f>IF(OR(TEXT(K$13,"ddd")="Sun",K$13="",$D290=""),"",IF('Leave Planner'!I291="",1,0))</f>
        <v/>
      </c>
      <c r="L290" s="17" t="str">
        <f>IF(OR(TEXT(L$13,"ddd")="Sun",L$13="",$D290=""),"",IF('Leave Planner'!J291="",1,0))</f>
        <v/>
      </c>
      <c r="M290" s="17" t="str">
        <f>IF(OR(TEXT(M$13,"ddd")="Sun",M$13="",$D290=""),"",IF('Leave Planner'!K291="",1,0))</f>
        <v/>
      </c>
      <c r="N290" s="17" t="str">
        <f>IF(OR(TEXT(N$13,"ddd")="Sun",N$13="",$D290=""),"",IF('Leave Planner'!L291="",1,0))</f>
        <v/>
      </c>
      <c r="O290" s="17" t="str">
        <f>IF(OR(TEXT(O$13,"ddd")="Sun",O$13="",$D290=""),"",IF('Leave Planner'!M291="",1,0))</f>
        <v/>
      </c>
      <c r="P290" s="17" t="str">
        <f>IF(OR(TEXT(P$13,"ddd")="Sun",P$13="",$D290=""),"",IF('Leave Planner'!N291="",1,0))</f>
        <v/>
      </c>
      <c r="Q290" s="17" t="str">
        <f>IF(OR(TEXT(Q$13,"ddd")="Sun",Q$13="",$D290=""),"",IF('Leave Planner'!O291="",1,0))</f>
        <v/>
      </c>
      <c r="R290" s="17" t="str">
        <f>IF(OR(TEXT(R$13,"ddd")="Sun",R$13="",$D290=""),"",IF('Leave Planner'!P291="",1,0))</f>
        <v/>
      </c>
      <c r="S290" s="17" t="str">
        <f>IF(OR(TEXT(S$13,"ddd")="Sun",S$13="",$D290=""),"",IF('Leave Planner'!Q291="",1,0))</f>
        <v/>
      </c>
      <c r="T290" s="17" t="str">
        <f>IF(OR(TEXT(T$13,"ddd")="Sun",T$13="",$D290=""),"",IF('Leave Planner'!R291="",1,0))</f>
        <v/>
      </c>
      <c r="U290" s="17" t="str">
        <f>IF(OR(TEXT(U$13,"ddd")="Sun",U$13="",$D290=""),"",IF('Leave Planner'!S291="",1,0))</f>
        <v/>
      </c>
      <c r="V290" s="17" t="str">
        <f>IF(OR(TEXT(V$13,"ddd")="Sun",V$13="",$D290=""),"",IF('Leave Planner'!T291="",1,0))</f>
        <v/>
      </c>
      <c r="W290" s="17" t="str">
        <f>IF(OR(TEXT(W$13,"ddd")="Sun",W$13="",$D290=""),"",IF('Leave Planner'!U291="",1,0))</f>
        <v/>
      </c>
      <c r="X290" s="17" t="str">
        <f>IF(OR(TEXT(X$13,"ddd")="Sun",X$13="",$D290=""),"",IF('Leave Planner'!V291="",1,0))</f>
        <v/>
      </c>
      <c r="Y290" s="17" t="str">
        <f>IF(OR(TEXT(Y$13,"ddd")="Sun",Y$13="",$D290=""),"",IF('Leave Planner'!W291="",1,0))</f>
        <v/>
      </c>
      <c r="Z290" s="17" t="str">
        <f>IF(OR(TEXT(Z$13,"ddd")="Sun",Z$13="",$D290=""),"",IF('Leave Planner'!X291="",1,0))</f>
        <v/>
      </c>
      <c r="AA290" s="17" t="str">
        <f>IF(OR(TEXT(AA$13,"ddd")="Sun",AA$13="",$D290=""),"",IF('Leave Planner'!Y291="",1,0))</f>
        <v/>
      </c>
      <c r="AB290" s="17" t="str">
        <f>IF(OR(TEXT(AB$13,"ddd")="Sun",AB$13="",$D290=""),"",IF('Leave Planner'!Z291="",1,0))</f>
        <v/>
      </c>
      <c r="AC290" s="17" t="str">
        <f>IF(OR(TEXT(AC$13,"ddd")="Sun",AC$13="",$D290=""),"",IF('Leave Planner'!AA291="",1,0))</f>
        <v/>
      </c>
      <c r="AD290" s="17" t="str">
        <f>IF(OR(TEXT(AD$13,"ddd")="Sun",AD$13="",$D290=""),"",IF('Leave Planner'!AB291="",1,0))</f>
        <v/>
      </c>
      <c r="AE290" s="17" t="str">
        <f>IF(OR(TEXT(AE$13,"ddd")="Sun",AE$13="",$D290=""),"",IF('Leave Planner'!AC291="",1,0))</f>
        <v/>
      </c>
      <c r="AF290" s="17" t="str">
        <f>IF(OR(TEXT(AF$13,"ddd")="Sun",AF$13="",$D290=""),"",IF('Leave Planner'!AD291="",1,0))</f>
        <v/>
      </c>
      <c r="AG290" s="17" t="str">
        <f>IF(OR(TEXT(AG$13,"ddd")="Sun",AG$13="",$D290=""),"",IF('Leave Planner'!AE291="",1,0))</f>
        <v/>
      </c>
      <c r="AH290" s="17" t="str">
        <f>IF(OR(TEXT(AH$13,"ddd")="Sun",AH$13="",$D290=""),"",IF('Leave Planner'!AF291="",1,0))</f>
        <v/>
      </c>
      <c r="AI290" s="17" t="str">
        <f>IF(OR(TEXT(AI$13,"ddd")="Sun",AI$13="",$D290=""),"",IF('Leave Planner'!AG291="",1,0))</f>
        <v/>
      </c>
      <c r="AJ290" s="17" t="str">
        <f>IF(OR(TEXT(AJ$13,"ddd")="Sun",AJ$13="",$D290=""),"",IF('Leave Planner'!AH291="",1,0))</f>
        <v/>
      </c>
    </row>
    <row r="291" spans="1:36" x14ac:dyDescent="0.75">
      <c r="B291" s="15"/>
      <c r="C291" s="22"/>
      <c r="D291" s="22"/>
      <c r="E291" s="42" t="str">
        <f t="shared" si="9"/>
        <v/>
      </c>
      <c r="F291" s="17" t="str">
        <f>IF(OR(TEXT(F$13,"ddd")="Sun",F$13="",$D291=""),"",IF('Leave Planner'!D292="",1,0))</f>
        <v/>
      </c>
      <c r="G291" s="17" t="str">
        <f>IF(OR(TEXT(G$13,"ddd")="Sun",G$13="",$D291=""),"",IF('Leave Planner'!E292="",1,0))</f>
        <v/>
      </c>
      <c r="H291" s="17" t="str">
        <f>IF(OR(TEXT(H$13,"ddd")="Sun",H$13="",$D291=""),"",IF('Leave Planner'!F292="",1,0))</f>
        <v/>
      </c>
      <c r="I291" s="17" t="str">
        <f>IF(OR(TEXT(I$13,"ddd")="Sun",I$13="",$D291=""),"",IF('Leave Planner'!G292="",1,0))</f>
        <v/>
      </c>
      <c r="J291" s="17" t="str">
        <f>IF(OR(TEXT(J$13,"ddd")="Sun",J$13="",$D291=""),"",IF('Leave Planner'!H292="",1,0))</f>
        <v/>
      </c>
      <c r="K291" s="17" t="str">
        <f>IF(OR(TEXT(K$13,"ddd")="Sun",K$13="",$D291=""),"",IF('Leave Planner'!I292="",1,0))</f>
        <v/>
      </c>
      <c r="L291" s="17" t="str">
        <f>IF(OR(TEXT(L$13,"ddd")="Sun",L$13="",$D291=""),"",IF('Leave Planner'!J292="",1,0))</f>
        <v/>
      </c>
      <c r="M291" s="17" t="str">
        <f>IF(OR(TEXT(M$13,"ddd")="Sun",M$13="",$D291=""),"",IF('Leave Planner'!K292="",1,0))</f>
        <v/>
      </c>
      <c r="N291" s="17" t="str">
        <f>IF(OR(TEXT(N$13,"ddd")="Sun",N$13="",$D291=""),"",IF('Leave Planner'!L292="",1,0))</f>
        <v/>
      </c>
      <c r="O291" s="17" t="str">
        <f>IF(OR(TEXT(O$13,"ddd")="Sun",O$13="",$D291=""),"",IF('Leave Planner'!M292="",1,0))</f>
        <v/>
      </c>
      <c r="P291" s="17" t="str">
        <f>IF(OR(TEXT(P$13,"ddd")="Sun",P$13="",$D291=""),"",IF('Leave Planner'!N292="",1,0))</f>
        <v/>
      </c>
      <c r="Q291" s="17" t="str">
        <f>IF(OR(TEXT(Q$13,"ddd")="Sun",Q$13="",$D291=""),"",IF('Leave Planner'!O292="",1,0))</f>
        <v/>
      </c>
      <c r="R291" s="17" t="str">
        <f>IF(OR(TEXT(R$13,"ddd")="Sun",R$13="",$D291=""),"",IF('Leave Planner'!P292="",1,0))</f>
        <v/>
      </c>
      <c r="S291" s="17" t="str">
        <f>IF(OR(TEXT(S$13,"ddd")="Sun",S$13="",$D291=""),"",IF('Leave Planner'!Q292="",1,0))</f>
        <v/>
      </c>
      <c r="T291" s="17" t="str">
        <f>IF(OR(TEXT(T$13,"ddd")="Sun",T$13="",$D291=""),"",IF('Leave Planner'!R292="",1,0))</f>
        <v/>
      </c>
      <c r="U291" s="17" t="str">
        <f>IF(OR(TEXT(U$13,"ddd")="Sun",U$13="",$D291=""),"",IF('Leave Planner'!S292="",1,0))</f>
        <v/>
      </c>
      <c r="V291" s="17" t="str">
        <f>IF(OR(TEXT(V$13,"ddd")="Sun",V$13="",$D291=""),"",IF('Leave Planner'!T292="",1,0))</f>
        <v/>
      </c>
      <c r="W291" s="17" t="str">
        <f>IF(OR(TEXT(W$13,"ddd")="Sun",W$13="",$D291=""),"",IF('Leave Planner'!U292="",1,0))</f>
        <v/>
      </c>
      <c r="X291" s="17" t="str">
        <f>IF(OR(TEXT(X$13,"ddd")="Sun",X$13="",$D291=""),"",IF('Leave Planner'!V292="",1,0))</f>
        <v/>
      </c>
      <c r="Y291" s="17" t="str">
        <f>IF(OR(TEXT(Y$13,"ddd")="Sun",Y$13="",$D291=""),"",IF('Leave Planner'!W292="",1,0))</f>
        <v/>
      </c>
      <c r="Z291" s="17" t="str">
        <f>IF(OR(TEXT(Z$13,"ddd")="Sun",Z$13="",$D291=""),"",IF('Leave Planner'!X292="",1,0))</f>
        <v/>
      </c>
      <c r="AA291" s="17" t="str">
        <f>IF(OR(TEXT(AA$13,"ddd")="Sun",AA$13="",$D291=""),"",IF('Leave Planner'!Y292="",1,0))</f>
        <v/>
      </c>
      <c r="AB291" s="17" t="str">
        <f>IF(OR(TEXT(AB$13,"ddd")="Sun",AB$13="",$D291=""),"",IF('Leave Planner'!Z292="",1,0))</f>
        <v/>
      </c>
      <c r="AC291" s="17" t="str">
        <f>IF(OR(TEXT(AC$13,"ddd")="Sun",AC$13="",$D291=""),"",IF('Leave Planner'!AA292="",1,0))</f>
        <v/>
      </c>
      <c r="AD291" s="17" t="str">
        <f>IF(OR(TEXT(AD$13,"ddd")="Sun",AD$13="",$D291=""),"",IF('Leave Planner'!AB292="",1,0))</f>
        <v/>
      </c>
      <c r="AE291" s="17" t="str">
        <f>IF(OR(TEXT(AE$13,"ddd")="Sun",AE$13="",$D291=""),"",IF('Leave Planner'!AC292="",1,0))</f>
        <v/>
      </c>
      <c r="AF291" s="17" t="str">
        <f>IF(OR(TEXT(AF$13,"ddd")="Sun",AF$13="",$D291=""),"",IF('Leave Planner'!AD292="",1,0))</f>
        <v/>
      </c>
      <c r="AG291" s="17" t="str">
        <f>IF(OR(TEXT(AG$13,"ddd")="Sun",AG$13="",$D291=""),"",IF('Leave Planner'!AE292="",1,0))</f>
        <v/>
      </c>
      <c r="AH291" s="17" t="str">
        <f>IF(OR(TEXT(AH$13,"ddd")="Sun",AH$13="",$D291=""),"",IF('Leave Planner'!AF292="",1,0))</f>
        <v/>
      </c>
      <c r="AI291" s="17" t="str">
        <f>IF(OR(TEXT(AI$13,"ddd")="Sun",AI$13="",$D291=""),"",IF('Leave Planner'!AG292="",1,0))</f>
        <v/>
      </c>
      <c r="AJ291" s="17" t="str">
        <f>IF(OR(TEXT(AJ$13,"ddd")="Sun",AJ$13="",$D291=""),"",IF('Leave Planner'!AH292="",1,0))</f>
        <v/>
      </c>
    </row>
    <row r="292" spans="1:36" x14ac:dyDescent="0.75">
      <c r="B292" s="15"/>
      <c r="C292" s="22"/>
      <c r="D292" s="22"/>
      <c r="E292" s="42" t="str">
        <f t="shared" si="9"/>
        <v/>
      </c>
      <c r="F292" s="17" t="str">
        <f>IF(OR(TEXT(F$13,"ddd")="Sun",F$13="",$D292=""),"",IF('Leave Planner'!D293="",1,0))</f>
        <v/>
      </c>
      <c r="G292" s="17" t="str">
        <f>IF(OR(TEXT(G$13,"ddd")="Sun",G$13="",$D292=""),"",IF('Leave Planner'!E293="",1,0))</f>
        <v/>
      </c>
      <c r="H292" s="17" t="str">
        <f>IF(OR(TEXT(H$13,"ddd")="Sun",H$13="",$D292=""),"",IF('Leave Planner'!F293="",1,0))</f>
        <v/>
      </c>
      <c r="I292" s="17" t="str">
        <f>IF(OR(TEXT(I$13,"ddd")="Sun",I$13="",$D292=""),"",IF('Leave Planner'!G293="",1,0))</f>
        <v/>
      </c>
      <c r="J292" s="17" t="str">
        <f>IF(OR(TEXT(J$13,"ddd")="Sun",J$13="",$D292=""),"",IF('Leave Planner'!H293="",1,0))</f>
        <v/>
      </c>
      <c r="K292" s="17" t="str">
        <f>IF(OR(TEXT(K$13,"ddd")="Sun",K$13="",$D292=""),"",IF('Leave Planner'!I293="",1,0))</f>
        <v/>
      </c>
      <c r="L292" s="17" t="str">
        <f>IF(OR(TEXT(L$13,"ddd")="Sun",L$13="",$D292=""),"",IF('Leave Planner'!J293="",1,0))</f>
        <v/>
      </c>
      <c r="M292" s="17" t="str">
        <f>IF(OR(TEXT(M$13,"ddd")="Sun",M$13="",$D292=""),"",IF('Leave Planner'!K293="",1,0))</f>
        <v/>
      </c>
      <c r="N292" s="17" t="str">
        <f>IF(OR(TEXT(N$13,"ddd")="Sun",N$13="",$D292=""),"",IF('Leave Planner'!L293="",1,0))</f>
        <v/>
      </c>
      <c r="O292" s="17" t="str">
        <f>IF(OR(TEXT(O$13,"ddd")="Sun",O$13="",$D292=""),"",IF('Leave Planner'!M293="",1,0))</f>
        <v/>
      </c>
      <c r="P292" s="17" t="str">
        <f>IF(OR(TEXT(P$13,"ddd")="Sun",P$13="",$D292=""),"",IF('Leave Planner'!N293="",1,0))</f>
        <v/>
      </c>
      <c r="Q292" s="17" t="str">
        <f>IF(OR(TEXT(Q$13,"ddd")="Sun",Q$13="",$D292=""),"",IF('Leave Planner'!O293="",1,0))</f>
        <v/>
      </c>
      <c r="R292" s="17" t="str">
        <f>IF(OR(TEXT(R$13,"ddd")="Sun",R$13="",$D292=""),"",IF('Leave Planner'!P293="",1,0))</f>
        <v/>
      </c>
      <c r="S292" s="17" t="str">
        <f>IF(OR(TEXT(S$13,"ddd")="Sun",S$13="",$D292=""),"",IF('Leave Planner'!Q293="",1,0))</f>
        <v/>
      </c>
      <c r="T292" s="17" t="str">
        <f>IF(OR(TEXT(T$13,"ddd")="Sun",T$13="",$D292=""),"",IF('Leave Planner'!R293="",1,0))</f>
        <v/>
      </c>
      <c r="U292" s="17" t="str">
        <f>IF(OR(TEXT(U$13,"ddd")="Sun",U$13="",$D292=""),"",IF('Leave Planner'!S293="",1,0))</f>
        <v/>
      </c>
      <c r="V292" s="17" t="str">
        <f>IF(OR(TEXT(V$13,"ddd")="Sun",V$13="",$D292=""),"",IF('Leave Planner'!T293="",1,0))</f>
        <v/>
      </c>
      <c r="W292" s="17" t="str">
        <f>IF(OR(TEXT(W$13,"ddd")="Sun",W$13="",$D292=""),"",IF('Leave Planner'!U293="",1,0))</f>
        <v/>
      </c>
      <c r="X292" s="17" t="str">
        <f>IF(OR(TEXT(X$13,"ddd")="Sun",X$13="",$D292=""),"",IF('Leave Planner'!V293="",1,0))</f>
        <v/>
      </c>
      <c r="Y292" s="17" t="str">
        <f>IF(OR(TEXT(Y$13,"ddd")="Sun",Y$13="",$D292=""),"",IF('Leave Planner'!W293="",1,0))</f>
        <v/>
      </c>
      <c r="Z292" s="17" t="str">
        <f>IF(OR(TEXT(Z$13,"ddd")="Sun",Z$13="",$D292=""),"",IF('Leave Planner'!X293="",1,0))</f>
        <v/>
      </c>
      <c r="AA292" s="17" t="str">
        <f>IF(OR(TEXT(AA$13,"ddd")="Sun",AA$13="",$D292=""),"",IF('Leave Planner'!Y293="",1,0))</f>
        <v/>
      </c>
      <c r="AB292" s="17" t="str">
        <f>IF(OR(TEXT(AB$13,"ddd")="Sun",AB$13="",$D292=""),"",IF('Leave Planner'!Z293="",1,0))</f>
        <v/>
      </c>
      <c r="AC292" s="17" t="str">
        <f>IF(OR(TEXT(AC$13,"ddd")="Sun",AC$13="",$D292=""),"",IF('Leave Planner'!AA293="",1,0))</f>
        <v/>
      </c>
      <c r="AD292" s="17" t="str">
        <f>IF(OR(TEXT(AD$13,"ddd")="Sun",AD$13="",$D292=""),"",IF('Leave Planner'!AB293="",1,0))</f>
        <v/>
      </c>
      <c r="AE292" s="17" t="str">
        <f>IF(OR(TEXT(AE$13,"ddd")="Sun",AE$13="",$D292=""),"",IF('Leave Planner'!AC293="",1,0))</f>
        <v/>
      </c>
      <c r="AF292" s="17" t="str">
        <f>IF(OR(TEXT(AF$13,"ddd")="Sun",AF$13="",$D292=""),"",IF('Leave Planner'!AD293="",1,0))</f>
        <v/>
      </c>
      <c r="AG292" s="17" t="str">
        <f>IF(OR(TEXT(AG$13,"ddd")="Sun",AG$13="",$D292=""),"",IF('Leave Planner'!AE293="",1,0))</f>
        <v/>
      </c>
      <c r="AH292" s="17" t="str">
        <f>IF(OR(TEXT(AH$13,"ddd")="Sun",AH$13="",$D292=""),"",IF('Leave Planner'!AF293="",1,0))</f>
        <v/>
      </c>
      <c r="AI292" s="17" t="str">
        <f>IF(OR(TEXT(AI$13,"ddd")="Sun",AI$13="",$D292=""),"",IF('Leave Planner'!AG293="",1,0))</f>
        <v/>
      </c>
      <c r="AJ292" s="17" t="str">
        <f>IF(OR(TEXT(AJ$13,"ddd")="Sun",AJ$13="",$D292=""),"",IF('Leave Planner'!AH293="",1,0))</f>
        <v/>
      </c>
    </row>
    <row r="293" spans="1:36" x14ac:dyDescent="0.75">
      <c r="B293" s="15"/>
      <c r="C293" s="22"/>
      <c r="D293" s="22"/>
      <c r="E293" s="42" t="str">
        <f t="shared" si="9"/>
        <v/>
      </c>
      <c r="F293" s="17" t="str">
        <f>IF(OR(TEXT(F$13,"ddd")="Sun",F$13="",$D293=""),"",IF('Leave Planner'!D294="",1,0))</f>
        <v/>
      </c>
      <c r="G293" s="17" t="str">
        <f>IF(OR(TEXT(G$13,"ddd")="Sun",G$13="",$D293=""),"",IF('Leave Planner'!E294="",1,0))</f>
        <v/>
      </c>
      <c r="H293" s="17" t="str">
        <f>IF(OR(TEXT(H$13,"ddd")="Sun",H$13="",$D293=""),"",IF('Leave Planner'!F294="",1,0))</f>
        <v/>
      </c>
      <c r="I293" s="17" t="str">
        <f>IF(OR(TEXT(I$13,"ddd")="Sun",I$13="",$D293=""),"",IF('Leave Planner'!G294="",1,0))</f>
        <v/>
      </c>
      <c r="J293" s="17" t="str">
        <f>IF(OR(TEXT(J$13,"ddd")="Sun",J$13="",$D293=""),"",IF('Leave Planner'!H294="",1,0))</f>
        <v/>
      </c>
      <c r="K293" s="17" t="str">
        <f>IF(OR(TEXT(K$13,"ddd")="Sun",K$13="",$D293=""),"",IF('Leave Planner'!I294="",1,0))</f>
        <v/>
      </c>
      <c r="L293" s="17" t="str">
        <f>IF(OR(TEXT(L$13,"ddd")="Sun",L$13="",$D293=""),"",IF('Leave Planner'!J294="",1,0))</f>
        <v/>
      </c>
      <c r="M293" s="17" t="str">
        <f>IF(OR(TEXT(M$13,"ddd")="Sun",M$13="",$D293=""),"",IF('Leave Planner'!K294="",1,0))</f>
        <v/>
      </c>
      <c r="N293" s="17" t="str">
        <f>IF(OR(TEXT(N$13,"ddd")="Sun",N$13="",$D293=""),"",IF('Leave Planner'!L294="",1,0))</f>
        <v/>
      </c>
      <c r="O293" s="17" t="str">
        <f>IF(OR(TEXT(O$13,"ddd")="Sun",O$13="",$D293=""),"",IF('Leave Planner'!M294="",1,0))</f>
        <v/>
      </c>
      <c r="P293" s="17" t="str">
        <f>IF(OR(TEXT(P$13,"ddd")="Sun",P$13="",$D293=""),"",IF('Leave Planner'!N294="",1,0))</f>
        <v/>
      </c>
      <c r="Q293" s="17" t="str">
        <f>IF(OR(TEXT(Q$13,"ddd")="Sun",Q$13="",$D293=""),"",IF('Leave Planner'!O294="",1,0))</f>
        <v/>
      </c>
      <c r="R293" s="17" t="str">
        <f>IF(OR(TEXT(R$13,"ddd")="Sun",R$13="",$D293=""),"",IF('Leave Planner'!P294="",1,0))</f>
        <v/>
      </c>
      <c r="S293" s="17" t="str">
        <f>IF(OR(TEXT(S$13,"ddd")="Sun",S$13="",$D293=""),"",IF('Leave Planner'!Q294="",1,0))</f>
        <v/>
      </c>
      <c r="T293" s="17" t="str">
        <f>IF(OR(TEXT(T$13,"ddd")="Sun",T$13="",$D293=""),"",IF('Leave Planner'!R294="",1,0))</f>
        <v/>
      </c>
      <c r="U293" s="17" t="str">
        <f>IF(OR(TEXT(U$13,"ddd")="Sun",U$13="",$D293=""),"",IF('Leave Planner'!S294="",1,0))</f>
        <v/>
      </c>
      <c r="V293" s="17" t="str">
        <f>IF(OR(TEXT(V$13,"ddd")="Sun",V$13="",$D293=""),"",IF('Leave Planner'!T294="",1,0))</f>
        <v/>
      </c>
      <c r="W293" s="17" t="str">
        <f>IF(OR(TEXT(W$13,"ddd")="Sun",W$13="",$D293=""),"",IF('Leave Planner'!U294="",1,0))</f>
        <v/>
      </c>
      <c r="X293" s="17" t="str">
        <f>IF(OR(TEXT(X$13,"ddd")="Sun",X$13="",$D293=""),"",IF('Leave Planner'!V294="",1,0))</f>
        <v/>
      </c>
      <c r="Y293" s="17" t="str">
        <f>IF(OR(TEXT(Y$13,"ddd")="Sun",Y$13="",$D293=""),"",IF('Leave Planner'!W294="",1,0))</f>
        <v/>
      </c>
      <c r="Z293" s="17" t="str">
        <f>IF(OR(TEXT(Z$13,"ddd")="Sun",Z$13="",$D293=""),"",IF('Leave Planner'!X294="",1,0))</f>
        <v/>
      </c>
      <c r="AA293" s="17" t="str">
        <f>IF(OR(TEXT(AA$13,"ddd")="Sun",AA$13="",$D293=""),"",IF('Leave Planner'!Y294="",1,0))</f>
        <v/>
      </c>
      <c r="AB293" s="17" t="str">
        <f>IF(OR(TEXT(AB$13,"ddd")="Sun",AB$13="",$D293=""),"",IF('Leave Planner'!Z294="",1,0))</f>
        <v/>
      </c>
      <c r="AC293" s="17" t="str">
        <f>IF(OR(TEXT(AC$13,"ddd")="Sun",AC$13="",$D293=""),"",IF('Leave Planner'!AA294="",1,0))</f>
        <v/>
      </c>
      <c r="AD293" s="17" t="str">
        <f>IF(OR(TEXT(AD$13,"ddd")="Sun",AD$13="",$D293=""),"",IF('Leave Planner'!AB294="",1,0))</f>
        <v/>
      </c>
      <c r="AE293" s="17" t="str">
        <f>IF(OR(TEXT(AE$13,"ddd")="Sun",AE$13="",$D293=""),"",IF('Leave Planner'!AC294="",1,0))</f>
        <v/>
      </c>
      <c r="AF293" s="17" t="str">
        <f>IF(OR(TEXT(AF$13,"ddd")="Sun",AF$13="",$D293=""),"",IF('Leave Planner'!AD294="",1,0))</f>
        <v/>
      </c>
      <c r="AG293" s="17" t="str">
        <f>IF(OR(TEXT(AG$13,"ddd")="Sun",AG$13="",$D293=""),"",IF('Leave Planner'!AE294="",1,0))</f>
        <v/>
      </c>
      <c r="AH293" s="17" t="str">
        <f>IF(OR(TEXT(AH$13,"ddd")="Sun",AH$13="",$D293=""),"",IF('Leave Planner'!AF294="",1,0))</f>
        <v/>
      </c>
      <c r="AI293" s="17" t="str">
        <f>IF(OR(TEXT(AI$13,"ddd")="Sun",AI$13="",$D293=""),"",IF('Leave Planner'!AG294="",1,0))</f>
        <v/>
      </c>
      <c r="AJ293" s="17" t="str">
        <f>IF(OR(TEXT(AJ$13,"ddd")="Sun",AJ$13="",$D293=""),"",IF('Leave Planner'!AH294="",1,0))</f>
        <v/>
      </c>
    </row>
    <row r="294" spans="1:36" x14ac:dyDescent="0.75">
      <c r="B294" s="15"/>
      <c r="C294" s="22"/>
      <c r="D294" s="22"/>
      <c r="E294" s="42" t="str">
        <f t="shared" si="9"/>
        <v/>
      </c>
      <c r="F294" s="17" t="str">
        <f>IF(OR(TEXT(F$13,"ddd")="Sun",F$13="",$D294=""),"",IF('Leave Planner'!D295="",1,0))</f>
        <v/>
      </c>
      <c r="G294" s="17" t="str">
        <f>IF(OR(TEXT(G$13,"ddd")="Sun",G$13="",$D294=""),"",IF('Leave Planner'!E295="",1,0))</f>
        <v/>
      </c>
      <c r="H294" s="17" t="str">
        <f>IF(OR(TEXT(H$13,"ddd")="Sun",H$13="",$D294=""),"",IF('Leave Planner'!F295="",1,0))</f>
        <v/>
      </c>
      <c r="I294" s="17" t="str">
        <f>IF(OR(TEXT(I$13,"ddd")="Sun",I$13="",$D294=""),"",IF('Leave Planner'!G295="",1,0))</f>
        <v/>
      </c>
      <c r="J294" s="17" t="str">
        <f>IF(OR(TEXT(J$13,"ddd")="Sun",J$13="",$D294=""),"",IF('Leave Planner'!H295="",1,0))</f>
        <v/>
      </c>
      <c r="K294" s="17" t="str">
        <f>IF(OR(TEXT(K$13,"ddd")="Sun",K$13="",$D294=""),"",IF('Leave Planner'!I295="",1,0))</f>
        <v/>
      </c>
      <c r="L294" s="17" t="str">
        <f>IF(OR(TEXT(L$13,"ddd")="Sun",L$13="",$D294=""),"",IF('Leave Planner'!J295="",1,0))</f>
        <v/>
      </c>
      <c r="M294" s="17" t="str">
        <f>IF(OR(TEXT(M$13,"ddd")="Sun",M$13="",$D294=""),"",IF('Leave Planner'!K295="",1,0))</f>
        <v/>
      </c>
      <c r="N294" s="17" t="str">
        <f>IF(OR(TEXT(N$13,"ddd")="Sun",N$13="",$D294=""),"",IF('Leave Planner'!L295="",1,0))</f>
        <v/>
      </c>
      <c r="O294" s="17" t="str">
        <f>IF(OR(TEXT(O$13,"ddd")="Sun",O$13="",$D294=""),"",IF('Leave Planner'!M295="",1,0))</f>
        <v/>
      </c>
      <c r="P294" s="17" t="str">
        <f>IF(OR(TEXT(P$13,"ddd")="Sun",P$13="",$D294=""),"",IF('Leave Planner'!N295="",1,0))</f>
        <v/>
      </c>
      <c r="Q294" s="17" t="str">
        <f>IF(OR(TEXT(Q$13,"ddd")="Sun",Q$13="",$D294=""),"",IF('Leave Planner'!O295="",1,0))</f>
        <v/>
      </c>
      <c r="R294" s="17" t="str">
        <f>IF(OR(TEXT(R$13,"ddd")="Sun",R$13="",$D294=""),"",IF('Leave Planner'!P295="",1,0))</f>
        <v/>
      </c>
      <c r="S294" s="17" t="str">
        <f>IF(OR(TEXT(S$13,"ddd")="Sun",S$13="",$D294=""),"",IF('Leave Planner'!Q295="",1,0))</f>
        <v/>
      </c>
      <c r="T294" s="17" t="str">
        <f>IF(OR(TEXT(T$13,"ddd")="Sun",T$13="",$D294=""),"",IF('Leave Planner'!R295="",1,0))</f>
        <v/>
      </c>
      <c r="U294" s="17" t="str">
        <f>IF(OR(TEXT(U$13,"ddd")="Sun",U$13="",$D294=""),"",IF('Leave Planner'!S295="",1,0))</f>
        <v/>
      </c>
      <c r="V294" s="17" t="str">
        <f>IF(OR(TEXT(V$13,"ddd")="Sun",V$13="",$D294=""),"",IF('Leave Planner'!T295="",1,0))</f>
        <v/>
      </c>
      <c r="W294" s="17" t="str">
        <f>IF(OR(TEXT(W$13,"ddd")="Sun",W$13="",$D294=""),"",IF('Leave Planner'!U295="",1,0))</f>
        <v/>
      </c>
      <c r="X294" s="17" t="str">
        <f>IF(OR(TEXT(X$13,"ddd")="Sun",X$13="",$D294=""),"",IF('Leave Planner'!V295="",1,0))</f>
        <v/>
      </c>
      <c r="Y294" s="17" t="str">
        <f>IF(OR(TEXT(Y$13,"ddd")="Sun",Y$13="",$D294=""),"",IF('Leave Planner'!W295="",1,0))</f>
        <v/>
      </c>
      <c r="Z294" s="17" t="str">
        <f>IF(OR(TEXT(Z$13,"ddd")="Sun",Z$13="",$D294=""),"",IF('Leave Planner'!X295="",1,0))</f>
        <v/>
      </c>
      <c r="AA294" s="17" t="str">
        <f>IF(OR(TEXT(AA$13,"ddd")="Sun",AA$13="",$D294=""),"",IF('Leave Planner'!Y295="",1,0))</f>
        <v/>
      </c>
      <c r="AB294" s="17" t="str">
        <f>IF(OR(TEXT(AB$13,"ddd")="Sun",AB$13="",$D294=""),"",IF('Leave Planner'!Z295="",1,0))</f>
        <v/>
      </c>
      <c r="AC294" s="17" t="str">
        <f>IF(OR(TEXT(AC$13,"ddd")="Sun",AC$13="",$D294=""),"",IF('Leave Planner'!AA295="",1,0))</f>
        <v/>
      </c>
      <c r="AD294" s="17" t="str">
        <f>IF(OR(TEXT(AD$13,"ddd")="Sun",AD$13="",$D294=""),"",IF('Leave Planner'!AB295="",1,0))</f>
        <v/>
      </c>
      <c r="AE294" s="17" t="str">
        <f>IF(OR(TEXT(AE$13,"ddd")="Sun",AE$13="",$D294=""),"",IF('Leave Planner'!AC295="",1,0))</f>
        <v/>
      </c>
      <c r="AF294" s="17" t="str">
        <f>IF(OR(TEXT(AF$13,"ddd")="Sun",AF$13="",$D294=""),"",IF('Leave Planner'!AD295="",1,0))</f>
        <v/>
      </c>
      <c r="AG294" s="17" t="str">
        <f>IF(OR(TEXT(AG$13,"ddd")="Sun",AG$13="",$D294=""),"",IF('Leave Planner'!AE295="",1,0))</f>
        <v/>
      </c>
      <c r="AH294" s="17" t="str">
        <f>IF(OR(TEXT(AH$13,"ddd")="Sun",AH$13="",$D294=""),"",IF('Leave Planner'!AF295="",1,0))</f>
        <v/>
      </c>
      <c r="AI294" s="17" t="str">
        <f>IF(OR(TEXT(AI$13,"ddd")="Sun",AI$13="",$D294=""),"",IF('Leave Planner'!AG295="",1,0))</f>
        <v/>
      </c>
      <c r="AJ294" s="17" t="str">
        <f>IF(OR(TEXT(AJ$13,"ddd")="Sun",AJ$13="",$D294=""),"",IF('Leave Planner'!AH295="",1,0))</f>
        <v/>
      </c>
    </row>
    <row r="295" spans="1:36" x14ac:dyDescent="0.75">
      <c r="B295" s="15"/>
      <c r="C295" s="22"/>
      <c r="D295" s="22"/>
      <c r="E295" s="42" t="str">
        <f t="shared" si="9"/>
        <v/>
      </c>
      <c r="F295" s="17" t="str">
        <f>IF(OR(TEXT(F$13,"ddd")="Sun",F$13="",$D295=""),"",IF('Leave Planner'!D296="",1,0))</f>
        <v/>
      </c>
      <c r="G295" s="17" t="str">
        <f>IF(OR(TEXT(G$13,"ddd")="Sun",G$13="",$D295=""),"",IF('Leave Planner'!E296="",1,0))</f>
        <v/>
      </c>
      <c r="H295" s="17" t="str">
        <f>IF(OR(TEXT(H$13,"ddd")="Sun",H$13="",$D295=""),"",IF('Leave Planner'!F296="",1,0))</f>
        <v/>
      </c>
      <c r="I295" s="17" t="str">
        <f>IF(OR(TEXT(I$13,"ddd")="Sun",I$13="",$D295=""),"",IF('Leave Planner'!G296="",1,0))</f>
        <v/>
      </c>
      <c r="J295" s="17" t="str">
        <f>IF(OR(TEXT(J$13,"ddd")="Sun",J$13="",$D295=""),"",IF('Leave Planner'!H296="",1,0))</f>
        <v/>
      </c>
      <c r="K295" s="17" t="str">
        <f>IF(OR(TEXT(K$13,"ddd")="Sun",K$13="",$D295=""),"",IF('Leave Planner'!I296="",1,0))</f>
        <v/>
      </c>
      <c r="L295" s="17" t="str">
        <f>IF(OR(TEXT(L$13,"ddd")="Sun",L$13="",$D295=""),"",IF('Leave Planner'!J296="",1,0))</f>
        <v/>
      </c>
      <c r="M295" s="17" t="str">
        <f>IF(OR(TEXT(M$13,"ddd")="Sun",M$13="",$D295=""),"",IF('Leave Planner'!K296="",1,0))</f>
        <v/>
      </c>
      <c r="N295" s="17" t="str">
        <f>IF(OR(TEXT(N$13,"ddd")="Sun",N$13="",$D295=""),"",IF('Leave Planner'!L296="",1,0))</f>
        <v/>
      </c>
      <c r="O295" s="17" t="str">
        <f>IF(OR(TEXT(O$13,"ddd")="Sun",O$13="",$D295=""),"",IF('Leave Planner'!M296="",1,0))</f>
        <v/>
      </c>
      <c r="P295" s="17" t="str">
        <f>IF(OR(TEXT(P$13,"ddd")="Sun",P$13="",$D295=""),"",IF('Leave Planner'!N296="",1,0))</f>
        <v/>
      </c>
      <c r="Q295" s="17" t="str">
        <f>IF(OR(TEXT(Q$13,"ddd")="Sun",Q$13="",$D295=""),"",IF('Leave Planner'!O296="",1,0))</f>
        <v/>
      </c>
      <c r="R295" s="17" t="str">
        <f>IF(OR(TEXT(R$13,"ddd")="Sun",R$13="",$D295=""),"",IF('Leave Planner'!P296="",1,0))</f>
        <v/>
      </c>
      <c r="S295" s="17" t="str">
        <f>IF(OR(TEXT(S$13,"ddd")="Sun",S$13="",$D295=""),"",IF('Leave Planner'!Q296="",1,0))</f>
        <v/>
      </c>
      <c r="T295" s="17" t="str">
        <f>IF(OR(TEXT(T$13,"ddd")="Sun",T$13="",$D295=""),"",IF('Leave Planner'!R296="",1,0))</f>
        <v/>
      </c>
      <c r="U295" s="17" t="str">
        <f>IF(OR(TEXT(U$13,"ddd")="Sun",U$13="",$D295=""),"",IF('Leave Planner'!S296="",1,0))</f>
        <v/>
      </c>
      <c r="V295" s="17" t="str">
        <f>IF(OR(TEXT(V$13,"ddd")="Sun",V$13="",$D295=""),"",IF('Leave Planner'!T296="",1,0))</f>
        <v/>
      </c>
      <c r="W295" s="17" t="str">
        <f>IF(OR(TEXT(W$13,"ddd")="Sun",W$13="",$D295=""),"",IF('Leave Planner'!U296="",1,0))</f>
        <v/>
      </c>
      <c r="X295" s="17" t="str">
        <f>IF(OR(TEXT(X$13,"ddd")="Sun",X$13="",$D295=""),"",IF('Leave Planner'!V296="",1,0))</f>
        <v/>
      </c>
      <c r="Y295" s="17" t="str">
        <f>IF(OR(TEXT(Y$13,"ddd")="Sun",Y$13="",$D295=""),"",IF('Leave Planner'!W296="",1,0))</f>
        <v/>
      </c>
      <c r="Z295" s="17" t="str">
        <f>IF(OR(TEXT(Z$13,"ddd")="Sun",Z$13="",$D295=""),"",IF('Leave Planner'!X296="",1,0))</f>
        <v/>
      </c>
      <c r="AA295" s="17" t="str">
        <f>IF(OR(TEXT(AA$13,"ddd")="Sun",AA$13="",$D295=""),"",IF('Leave Planner'!Y296="",1,0))</f>
        <v/>
      </c>
      <c r="AB295" s="17" t="str">
        <f>IF(OR(TEXT(AB$13,"ddd")="Sun",AB$13="",$D295=""),"",IF('Leave Planner'!Z296="",1,0))</f>
        <v/>
      </c>
      <c r="AC295" s="17" t="str">
        <f>IF(OR(TEXT(AC$13,"ddd")="Sun",AC$13="",$D295=""),"",IF('Leave Planner'!AA296="",1,0))</f>
        <v/>
      </c>
      <c r="AD295" s="17" t="str">
        <f>IF(OR(TEXT(AD$13,"ddd")="Sun",AD$13="",$D295=""),"",IF('Leave Planner'!AB296="",1,0))</f>
        <v/>
      </c>
      <c r="AE295" s="17" t="str">
        <f>IF(OR(TEXT(AE$13,"ddd")="Sun",AE$13="",$D295=""),"",IF('Leave Planner'!AC296="",1,0))</f>
        <v/>
      </c>
      <c r="AF295" s="17" t="str">
        <f>IF(OR(TEXT(AF$13,"ddd")="Sun",AF$13="",$D295=""),"",IF('Leave Planner'!AD296="",1,0))</f>
        <v/>
      </c>
      <c r="AG295" s="17" t="str">
        <f>IF(OR(TEXT(AG$13,"ddd")="Sun",AG$13="",$D295=""),"",IF('Leave Planner'!AE296="",1,0))</f>
        <v/>
      </c>
      <c r="AH295" s="17" t="str">
        <f>IF(OR(TEXT(AH$13,"ddd")="Sun",AH$13="",$D295=""),"",IF('Leave Planner'!AF296="",1,0))</f>
        <v/>
      </c>
      <c r="AI295" s="17" t="str">
        <f>IF(OR(TEXT(AI$13,"ddd")="Sun",AI$13="",$D295=""),"",IF('Leave Planner'!AG296="",1,0))</f>
        <v/>
      </c>
      <c r="AJ295" s="17" t="str">
        <f>IF(OR(TEXT(AJ$13,"ddd")="Sun",AJ$13="",$D295=""),"",IF('Leave Planner'!AH296="",1,0))</f>
        <v/>
      </c>
    </row>
    <row r="296" spans="1:36" x14ac:dyDescent="0.75">
      <c r="B296" s="15"/>
      <c r="C296" s="22"/>
      <c r="D296" s="22"/>
      <c r="E296" s="42" t="str">
        <f t="shared" si="9"/>
        <v/>
      </c>
      <c r="F296" s="17" t="str">
        <f>IF(OR(TEXT(F$13,"ddd")="Sun",F$13="",$D296=""),"",IF('Leave Planner'!D297="",1,0))</f>
        <v/>
      </c>
      <c r="G296" s="17" t="str">
        <f>IF(OR(TEXT(G$13,"ddd")="Sun",G$13="",$D296=""),"",IF('Leave Planner'!E297="",1,0))</f>
        <v/>
      </c>
      <c r="H296" s="17" t="str">
        <f>IF(OR(TEXT(H$13,"ddd")="Sun",H$13="",$D296=""),"",IF('Leave Planner'!F297="",1,0))</f>
        <v/>
      </c>
      <c r="I296" s="17" t="str">
        <f>IF(OR(TEXT(I$13,"ddd")="Sun",I$13="",$D296=""),"",IF('Leave Planner'!G297="",1,0))</f>
        <v/>
      </c>
      <c r="J296" s="17" t="str">
        <f>IF(OR(TEXT(J$13,"ddd")="Sun",J$13="",$D296=""),"",IF('Leave Planner'!H297="",1,0))</f>
        <v/>
      </c>
      <c r="K296" s="17" t="str">
        <f>IF(OR(TEXT(K$13,"ddd")="Sun",K$13="",$D296=""),"",IF('Leave Planner'!I297="",1,0))</f>
        <v/>
      </c>
      <c r="L296" s="17" t="str">
        <f>IF(OR(TEXT(L$13,"ddd")="Sun",L$13="",$D296=""),"",IF('Leave Planner'!J297="",1,0))</f>
        <v/>
      </c>
      <c r="M296" s="17" t="str">
        <f>IF(OR(TEXT(M$13,"ddd")="Sun",M$13="",$D296=""),"",IF('Leave Planner'!K297="",1,0))</f>
        <v/>
      </c>
      <c r="N296" s="17" t="str">
        <f>IF(OR(TEXT(N$13,"ddd")="Sun",N$13="",$D296=""),"",IF('Leave Planner'!L297="",1,0))</f>
        <v/>
      </c>
      <c r="O296" s="17" t="str">
        <f>IF(OR(TEXT(O$13,"ddd")="Sun",O$13="",$D296=""),"",IF('Leave Planner'!M297="",1,0))</f>
        <v/>
      </c>
      <c r="P296" s="17" t="str">
        <f>IF(OR(TEXT(P$13,"ddd")="Sun",P$13="",$D296=""),"",IF('Leave Planner'!N297="",1,0))</f>
        <v/>
      </c>
      <c r="Q296" s="17" t="str">
        <f>IF(OR(TEXT(Q$13,"ddd")="Sun",Q$13="",$D296=""),"",IF('Leave Planner'!O297="",1,0))</f>
        <v/>
      </c>
      <c r="R296" s="17" t="str">
        <f>IF(OR(TEXT(R$13,"ddd")="Sun",R$13="",$D296=""),"",IF('Leave Planner'!P297="",1,0))</f>
        <v/>
      </c>
      <c r="S296" s="17" t="str">
        <f>IF(OR(TEXT(S$13,"ddd")="Sun",S$13="",$D296=""),"",IF('Leave Planner'!Q297="",1,0))</f>
        <v/>
      </c>
      <c r="T296" s="17" t="str">
        <f>IF(OR(TEXT(T$13,"ddd")="Sun",T$13="",$D296=""),"",IF('Leave Planner'!R297="",1,0))</f>
        <v/>
      </c>
      <c r="U296" s="17" t="str">
        <f>IF(OR(TEXT(U$13,"ddd")="Sun",U$13="",$D296=""),"",IF('Leave Planner'!S297="",1,0))</f>
        <v/>
      </c>
      <c r="V296" s="17" t="str">
        <f>IF(OR(TEXT(V$13,"ddd")="Sun",V$13="",$D296=""),"",IF('Leave Planner'!T297="",1,0))</f>
        <v/>
      </c>
      <c r="W296" s="17" t="str">
        <f>IF(OR(TEXT(W$13,"ddd")="Sun",W$13="",$D296=""),"",IF('Leave Planner'!U297="",1,0))</f>
        <v/>
      </c>
      <c r="X296" s="17" t="str">
        <f>IF(OR(TEXT(X$13,"ddd")="Sun",X$13="",$D296=""),"",IF('Leave Planner'!V297="",1,0))</f>
        <v/>
      </c>
      <c r="Y296" s="17" t="str">
        <f>IF(OR(TEXT(Y$13,"ddd")="Sun",Y$13="",$D296=""),"",IF('Leave Planner'!W297="",1,0))</f>
        <v/>
      </c>
      <c r="Z296" s="17" t="str">
        <f>IF(OR(TEXT(Z$13,"ddd")="Sun",Z$13="",$D296=""),"",IF('Leave Planner'!X297="",1,0))</f>
        <v/>
      </c>
      <c r="AA296" s="17" t="str">
        <f>IF(OR(TEXT(AA$13,"ddd")="Sun",AA$13="",$D296=""),"",IF('Leave Planner'!Y297="",1,0))</f>
        <v/>
      </c>
      <c r="AB296" s="17" t="str">
        <f>IF(OR(TEXT(AB$13,"ddd")="Sun",AB$13="",$D296=""),"",IF('Leave Planner'!Z297="",1,0))</f>
        <v/>
      </c>
      <c r="AC296" s="17" t="str">
        <f>IF(OR(TEXT(AC$13,"ddd")="Sun",AC$13="",$D296=""),"",IF('Leave Planner'!AA297="",1,0))</f>
        <v/>
      </c>
      <c r="AD296" s="17" t="str">
        <f>IF(OR(TEXT(AD$13,"ddd")="Sun",AD$13="",$D296=""),"",IF('Leave Planner'!AB297="",1,0))</f>
        <v/>
      </c>
      <c r="AE296" s="17" t="str">
        <f>IF(OR(TEXT(AE$13,"ddd")="Sun",AE$13="",$D296=""),"",IF('Leave Planner'!AC297="",1,0))</f>
        <v/>
      </c>
      <c r="AF296" s="17" t="str">
        <f>IF(OR(TEXT(AF$13,"ddd")="Sun",AF$13="",$D296=""),"",IF('Leave Planner'!AD297="",1,0))</f>
        <v/>
      </c>
      <c r="AG296" s="17" t="str">
        <f>IF(OR(TEXT(AG$13,"ddd")="Sun",AG$13="",$D296=""),"",IF('Leave Planner'!AE297="",1,0))</f>
        <v/>
      </c>
      <c r="AH296" s="17" t="str">
        <f>IF(OR(TEXT(AH$13,"ddd")="Sun",AH$13="",$D296=""),"",IF('Leave Planner'!AF297="",1,0))</f>
        <v/>
      </c>
      <c r="AI296" s="17" t="str">
        <f>IF(OR(TEXT(AI$13,"ddd")="Sun",AI$13="",$D296=""),"",IF('Leave Planner'!AG297="",1,0))</f>
        <v/>
      </c>
      <c r="AJ296" s="17" t="str">
        <f>IF(OR(TEXT(AJ$13,"ddd")="Sun",AJ$13="",$D296=""),"",IF('Leave Planner'!AH297="",1,0))</f>
        <v/>
      </c>
    </row>
    <row r="297" spans="1:36" x14ac:dyDescent="0.75">
      <c r="B297" s="15"/>
      <c r="C297" s="22"/>
      <c r="D297" s="22"/>
      <c r="E297" s="42" t="str">
        <f t="shared" si="9"/>
        <v/>
      </c>
      <c r="F297" s="17" t="str">
        <f>IF(OR(TEXT(F$13,"ddd")="Sun",F$13="",$D297=""),"",IF('Leave Planner'!D298="",1,0))</f>
        <v/>
      </c>
      <c r="G297" s="17" t="str">
        <f>IF(OR(TEXT(G$13,"ddd")="Sun",G$13="",$D297=""),"",IF('Leave Planner'!E298="",1,0))</f>
        <v/>
      </c>
      <c r="H297" s="17" t="str">
        <f>IF(OR(TEXT(H$13,"ddd")="Sun",H$13="",$D297=""),"",IF('Leave Planner'!F298="",1,0))</f>
        <v/>
      </c>
      <c r="I297" s="17" t="str">
        <f>IF(OR(TEXT(I$13,"ddd")="Sun",I$13="",$D297=""),"",IF('Leave Planner'!G298="",1,0))</f>
        <v/>
      </c>
      <c r="J297" s="17" t="str">
        <f>IF(OR(TEXT(J$13,"ddd")="Sun",J$13="",$D297=""),"",IF('Leave Planner'!H298="",1,0))</f>
        <v/>
      </c>
      <c r="K297" s="17" t="str">
        <f>IF(OR(TEXT(K$13,"ddd")="Sun",K$13="",$D297=""),"",IF('Leave Planner'!I298="",1,0))</f>
        <v/>
      </c>
      <c r="L297" s="17" t="str">
        <f>IF(OR(TEXT(L$13,"ddd")="Sun",L$13="",$D297=""),"",IF('Leave Planner'!J298="",1,0))</f>
        <v/>
      </c>
      <c r="M297" s="17" t="str">
        <f>IF(OR(TEXT(M$13,"ddd")="Sun",M$13="",$D297=""),"",IF('Leave Planner'!K298="",1,0))</f>
        <v/>
      </c>
      <c r="N297" s="17" t="str">
        <f>IF(OR(TEXT(N$13,"ddd")="Sun",N$13="",$D297=""),"",IF('Leave Planner'!L298="",1,0))</f>
        <v/>
      </c>
      <c r="O297" s="17" t="str">
        <f>IF(OR(TEXT(O$13,"ddd")="Sun",O$13="",$D297=""),"",IF('Leave Planner'!M298="",1,0))</f>
        <v/>
      </c>
      <c r="P297" s="17" t="str">
        <f>IF(OR(TEXT(P$13,"ddd")="Sun",P$13="",$D297=""),"",IF('Leave Planner'!N298="",1,0))</f>
        <v/>
      </c>
      <c r="Q297" s="17" t="str">
        <f>IF(OR(TEXT(Q$13,"ddd")="Sun",Q$13="",$D297=""),"",IF('Leave Planner'!O298="",1,0))</f>
        <v/>
      </c>
      <c r="R297" s="17" t="str">
        <f>IF(OR(TEXT(R$13,"ddd")="Sun",R$13="",$D297=""),"",IF('Leave Planner'!P298="",1,0))</f>
        <v/>
      </c>
      <c r="S297" s="17" t="str">
        <f>IF(OR(TEXT(S$13,"ddd")="Sun",S$13="",$D297=""),"",IF('Leave Planner'!Q298="",1,0))</f>
        <v/>
      </c>
      <c r="T297" s="17" t="str">
        <f>IF(OR(TEXT(T$13,"ddd")="Sun",T$13="",$D297=""),"",IF('Leave Planner'!R298="",1,0))</f>
        <v/>
      </c>
      <c r="U297" s="17" t="str">
        <f>IF(OR(TEXT(U$13,"ddd")="Sun",U$13="",$D297=""),"",IF('Leave Planner'!S298="",1,0))</f>
        <v/>
      </c>
      <c r="V297" s="17" t="str">
        <f>IF(OR(TEXT(V$13,"ddd")="Sun",V$13="",$D297=""),"",IF('Leave Planner'!T298="",1,0))</f>
        <v/>
      </c>
      <c r="W297" s="17" t="str">
        <f>IF(OR(TEXT(W$13,"ddd")="Sun",W$13="",$D297=""),"",IF('Leave Planner'!U298="",1,0))</f>
        <v/>
      </c>
      <c r="X297" s="17" t="str">
        <f>IF(OR(TEXT(X$13,"ddd")="Sun",X$13="",$D297=""),"",IF('Leave Planner'!V298="",1,0))</f>
        <v/>
      </c>
      <c r="Y297" s="17" t="str">
        <f>IF(OR(TEXT(Y$13,"ddd")="Sun",Y$13="",$D297=""),"",IF('Leave Planner'!W298="",1,0))</f>
        <v/>
      </c>
      <c r="Z297" s="17" t="str">
        <f>IF(OR(TEXT(Z$13,"ddd")="Sun",Z$13="",$D297=""),"",IF('Leave Planner'!X298="",1,0))</f>
        <v/>
      </c>
      <c r="AA297" s="17" t="str">
        <f>IF(OR(TEXT(AA$13,"ddd")="Sun",AA$13="",$D297=""),"",IF('Leave Planner'!Y298="",1,0))</f>
        <v/>
      </c>
      <c r="AB297" s="17" t="str">
        <f>IF(OR(TEXT(AB$13,"ddd")="Sun",AB$13="",$D297=""),"",IF('Leave Planner'!Z298="",1,0))</f>
        <v/>
      </c>
      <c r="AC297" s="17" t="str">
        <f>IF(OR(TEXT(AC$13,"ddd")="Sun",AC$13="",$D297=""),"",IF('Leave Planner'!AA298="",1,0))</f>
        <v/>
      </c>
      <c r="AD297" s="17" t="str">
        <f>IF(OR(TEXT(AD$13,"ddd")="Sun",AD$13="",$D297=""),"",IF('Leave Planner'!AB298="",1,0))</f>
        <v/>
      </c>
      <c r="AE297" s="17" t="str">
        <f>IF(OR(TEXT(AE$13,"ddd")="Sun",AE$13="",$D297=""),"",IF('Leave Planner'!AC298="",1,0))</f>
        <v/>
      </c>
      <c r="AF297" s="17" t="str">
        <f>IF(OR(TEXT(AF$13,"ddd")="Sun",AF$13="",$D297=""),"",IF('Leave Planner'!AD298="",1,0))</f>
        <v/>
      </c>
      <c r="AG297" s="17" t="str">
        <f>IF(OR(TEXT(AG$13,"ddd")="Sun",AG$13="",$D297=""),"",IF('Leave Planner'!AE298="",1,0))</f>
        <v/>
      </c>
      <c r="AH297" s="17" t="str">
        <f>IF(OR(TEXT(AH$13,"ddd")="Sun",AH$13="",$D297=""),"",IF('Leave Planner'!AF298="",1,0))</f>
        <v/>
      </c>
      <c r="AI297" s="17" t="str">
        <f>IF(OR(TEXT(AI$13,"ddd")="Sun",AI$13="",$D297=""),"",IF('Leave Planner'!AG298="",1,0))</f>
        <v/>
      </c>
      <c r="AJ297" s="17" t="str">
        <f>IF(OR(TEXT(AJ$13,"ddd")="Sun",AJ$13="",$D297=""),"",IF('Leave Planner'!AH298="",1,0))</f>
        <v/>
      </c>
    </row>
    <row r="298" spans="1:36" x14ac:dyDescent="0.75">
      <c r="B298" s="15"/>
      <c r="C298" s="22"/>
      <c r="D298" s="22"/>
      <c r="E298" s="42" t="str">
        <f t="shared" si="9"/>
        <v/>
      </c>
      <c r="F298" s="17" t="str">
        <f>IF(OR(TEXT(F$13,"ddd")="Sun",F$13="",$D298=""),"",IF('Leave Planner'!D299="",1,0))</f>
        <v/>
      </c>
      <c r="G298" s="17" t="str">
        <f>IF(OR(TEXT(G$13,"ddd")="Sun",G$13="",$D298=""),"",IF('Leave Planner'!E299="",1,0))</f>
        <v/>
      </c>
      <c r="H298" s="17" t="str">
        <f>IF(OR(TEXT(H$13,"ddd")="Sun",H$13="",$D298=""),"",IF('Leave Planner'!F299="",1,0))</f>
        <v/>
      </c>
      <c r="I298" s="17" t="str">
        <f>IF(OR(TEXT(I$13,"ddd")="Sun",I$13="",$D298=""),"",IF('Leave Planner'!G299="",1,0))</f>
        <v/>
      </c>
      <c r="J298" s="17" t="str">
        <f>IF(OR(TEXT(J$13,"ddd")="Sun",J$13="",$D298=""),"",IF('Leave Planner'!H299="",1,0))</f>
        <v/>
      </c>
      <c r="K298" s="17" t="str">
        <f>IF(OR(TEXT(K$13,"ddd")="Sun",K$13="",$D298=""),"",IF('Leave Planner'!I299="",1,0))</f>
        <v/>
      </c>
      <c r="L298" s="17" t="str">
        <f>IF(OR(TEXT(L$13,"ddd")="Sun",L$13="",$D298=""),"",IF('Leave Planner'!J299="",1,0))</f>
        <v/>
      </c>
      <c r="M298" s="17" t="str">
        <f>IF(OR(TEXT(M$13,"ddd")="Sun",M$13="",$D298=""),"",IF('Leave Planner'!K299="",1,0))</f>
        <v/>
      </c>
      <c r="N298" s="17" t="str">
        <f>IF(OR(TEXT(N$13,"ddd")="Sun",N$13="",$D298=""),"",IF('Leave Planner'!L299="",1,0))</f>
        <v/>
      </c>
      <c r="O298" s="17" t="str">
        <f>IF(OR(TEXT(O$13,"ddd")="Sun",O$13="",$D298=""),"",IF('Leave Planner'!M299="",1,0))</f>
        <v/>
      </c>
      <c r="P298" s="17" t="str">
        <f>IF(OR(TEXT(P$13,"ddd")="Sun",P$13="",$D298=""),"",IF('Leave Planner'!N299="",1,0))</f>
        <v/>
      </c>
      <c r="Q298" s="17" t="str">
        <f>IF(OR(TEXT(Q$13,"ddd")="Sun",Q$13="",$D298=""),"",IF('Leave Planner'!O299="",1,0))</f>
        <v/>
      </c>
      <c r="R298" s="17" t="str">
        <f>IF(OR(TEXT(R$13,"ddd")="Sun",R$13="",$D298=""),"",IF('Leave Planner'!P299="",1,0))</f>
        <v/>
      </c>
      <c r="S298" s="17" t="str">
        <f>IF(OR(TEXT(S$13,"ddd")="Sun",S$13="",$D298=""),"",IF('Leave Planner'!Q299="",1,0))</f>
        <v/>
      </c>
      <c r="T298" s="17" t="str">
        <f>IF(OR(TEXT(T$13,"ddd")="Sun",T$13="",$D298=""),"",IF('Leave Planner'!R299="",1,0))</f>
        <v/>
      </c>
      <c r="U298" s="17" t="str">
        <f>IF(OR(TEXT(U$13,"ddd")="Sun",U$13="",$D298=""),"",IF('Leave Planner'!S299="",1,0))</f>
        <v/>
      </c>
      <c r="V298" s="17" t="str">
        <f>IF(OR(TEXT(V$13,"ddd")="Sun",V$13="",$D298=""),"",IF('Leave Planner'!T299="",1,0))</f>
        <v/>
      </c>
      <c r="W298" s="17" t="str">
        <f>IF(OR(TEXT(W$13,"ddd")="Sun",W$13="",$D298=""),"",IF('Leave Planner'!U299="",1,0))</f>
        <v/>
      </c>
      <c r="X298" s="17" t="str">
        <f>IF(OR(TEXT(X$13,"ddd")="Sun",X$13="",$D298=""),"",IF('Leave Planner'!V299="",1,0))</f>
        <v/>
      </c>
      <c r="Y298" s="17" t="str">
        <f>IF(OR(TEXT(Y$13,"ddd")="Sun",Y$13="",$D298=""),"",IF('Leave Planner'!W299="",1,0))</f>
        <v/>
      </c>
      <c r="Z298" s="17" t="str">
        <f>IF(OR(TEXT(Z$13,"ddd")="Sun",Z$13="",$D298=""),"",IF('Leave Planner'!X299="",1,0))</f>
        <v/>
      </c>
      <c r="AA298" s="17" t="str">
        <f>IF(OR(TEXT(AA$13,"ddd")="Sun",AA$13="",$D298=""),"",IF('Leave Planner'!Y299="",1,0))</f>
        <v/>
      </c>
      <c r="AB298" s="17" t="str">
        <f>IF(OR(TEXT(AB$13,"ddd")="Sun",AB$13="",$D298=""),"",IF('Leave Planner'!Z299="",1,0))</f>
        <v/>
      </c>
      <c r="AC298" s="17" t="str">
        <f>IF(OR(TEXT(AC$13,"ddd")="Sun",AC$13="",$D298=""),"",IF('Leave Planner'!AA299="",1,0))</f>
        <v/>
      </c>
      <c r="AD298" s="17" t="str">
        <f>IF(OR(TEXT(AD$13,"ddd")="Sun",AD$13="",$D298=""),"",IF('Leave Planner'!AB299="",1,0))</f>
        <v/>
      </c>
      <c r="AE298" s="17" t="str">
        <f>IF(OR(TEXT(AE$13,"ddd")="Sun",AE$13="",$D298=""),"",IF('Leave Planner'!AC299="",1,0))</f>
        <v/>
      </c>
      <c r="AF298" s="17" t="str">
        <f>IF(OR(TEXT(AF$13,"ddd")="Sun",AF$13="",$D298=""),"",IF('Leave Planner'!AD299="",1,0))</f>
        <v/>
      </c>
      <c r="AG298" s="17" t="str">
        <f>IF(OR(TEXT(AG$13,"ddd")="Sun",AG$13="",$D298=""),"",IF('Leave Planner'!AE299="",1,0))</f>
        <v/>
      </c>
      <c r="AH298" s="17" t="str">
        <f>IF(OR(TEXT(AH$13,"ddd")="Sun",AH$13="",$D298=""),"",IF('Leave Planner'!AF299="",1,0))</f>
        <v/>
      </c>
      <c r="AI298" s="17" t="str">
        <f>IF(OR(TEXT(AI$13,"ddd")="Sun",AI$13="",$D298=""),"",IF('Leave Planner'!AG299="",1,0))</f>
        <v/>
      </c>
      <c r="AJ298" s="17" t="str">
        <f>IF(OR(TEXT(AJ$13,"ddd")="Sun",AJ$13="",$D298=""),"",IF('Leave Planner'!AH299="",1,0))</f>
        <v/>
      </c>
    </row>
    <row r="299" spans="1:36" x14ac:dyDescent="0.75">
      <c r="B299" s="15"/>
      <c r="C299" s="22"/>
      <c r="D299" s="22"/>
      <c r="E299" s="42" t="str">
        <f t="shared" si="9"/>
        <v/>
      </c>
      <c r="F299" s="17" t="str">
        <f>IF(OR(TEXT(F$13,"ddd")="Sun",F$13="",$D299=""),"",IF('Leave Planner'!D300="",1,0))</f>
        <v/>
      </c>
      <c r="G299" s="17" t="str">
        <f>IF(OR(TEXT(G$13,"ddd")="Sun",G$13="",$D299=""),"",IF('Leave Planner'!E300="",1,0))</f>
        <v/>
      </c>
      <c r="H299" s="17" t="str">
        <f>IF(OR(TEXT(H$13,"ddd")="Sun",H$13="",$D299=""),"",IF('Leave Planner'!F300="",1,0))</f>
        <v/>
      </c>
      <c r="I299" s="17" t="str">
        <f>IF(OR(TEXT(I$13,"ddd")="Sun",I$13="",$D299=""),"",IF('Leave Planner'!G300="",1,0))</f>
        <v/>
      </c>
      <c r="J299" s="17" t="str">
        <f>IF(OR(TEXT(J$13,"ddd")="Sun",J$13="",$D299=""),"",IF('Leave Planner'!H300="",1,0))</f>
        <v/>
      </c>
      <c r="K299" s="17" t="str">
        <f>IF(OR(TEXT(K$13,"ddd")="Sun",K$13="",$D299=""),"",IF('Leave Planner'!I300="",1,0))</f>
        <v/>
      </c>
      <c r="L299" s="17" t="str">
        <f>IF(OR(TEXT(L$13,"ddd")="Sun",L$13="",$D299=""),"",IF('Leave Planner'!J300="",1,0))</f>
        <v/>
      </c>
      <c r="M299" s="17" t="str">
        <f>IF(OR(TEXT(M$13,"ddd")="Sun",M$13="",$D299=""),"",IF('Leave Planner'!K300="",1,0))</f>
        <v/>
      </c>
      <c r="N299" s="17" t="str">
        <f>IF(OR(TEXT(N$13,"ddd")="Sun",N$13="",$D299=""),"",IF('Leave Planner'!L300="",1,0))</f>
        <v/>
      </c>
      <c r="O299" s="17" t="str">
        <f>IF(OR(TEXT(O$13,"ddd")="Sun",O$13="",$D299=""),"",IF('Leave Planner'!M300="",1,0))</f>
        <v/>
      </c>
      <c r="P299" s="17" t="str">
        <f>IF(OR(TEXT(P$13,"ddd")="Sun",P$13="",$D299=""),"",IF('Leave Planner'!N300="",1,0))</f>
        <v/>
      </c>
      <c r="Q299" s="17" t="str">
        <f>IF(OR(TEXT(Q$13,"ddd")="Sun",Q$13="",$D299=""),"",IF('Leave Planner'!O300="",1,0))</f>
        <v/>
      </c>
      <c r="R299" s="17" t="str">
        <f>IF(OR(TEXT(R$13,"ddd")="Sun",R$13="",$D299=""),"",IF('Leave Planner'!P300="",1,0))</f>
        <v/>
      </c>
      <c r="S299" s="17" t="str">
        <f>IF(OR(TEXT(S$13,"ddd")="Sun",S$13="",$D299=""),"",IF('Leave Planner'!Q300="",1,0))</f>
        <v/>
      </c>
      <c r="T299" s="17" t="str">
        <f>IF(OR(TEXT(T$13,"ddd")="Sun",T$13="",$D299=""),"",IF('Leave Planner'!R300="",1,0))</f>
        <v/>
      </c>
      <c r="U299" s="17" t="str">
        <f>IF(OR(TEXT(U$13,"ddd")="Sun",U$13="",$D299=""),"",IF('Leave Planner'!S300="",1,0))</f>
        <v/>
      </c>
      <c r="V299" s="17" t="str">
        <f>IF(OR(TEXT(V$13,"ddd")="Sun",V$13="",$D299=""),"",IF('Leave Planner'!T300="",1,0))</f>
        <v/>
      </c>
      <c r="W299" s="17" t="str">
        <f>IF(OR(TEXT(W$13,"ddd")="Sun",W$13="",$D299=""),"",IF('Leave Planner'!U300="",1,0))</f>
        <v/>
      </c>
      <c r="X299" s="17" t="str">
        <f>IF(OR(TEXT(X$13,"ddd")="Sun",X$13="",$D299=""),"",IF('Leave Planner'!V300="",1,0))</f>
        <v/>
      </c>
      <c r="Y299" s="17" t="str">
        <f>IF(OR(TEXT(Y$13,"ddd")="Sun",Y$13="",$D299=""),"",IF('Leave Planner'!W300="",1,0))</f>
        <v/>
      </c>
      <c r="Z299" s="17" t="str">
        <f>IF(OR(TEXT(Z$13,"ddd")="Sun",Z$13="",$D299=""),"",IF('Leave Planner'!X300="",1,0))</f>
        <v/>
      </c>
      <c r="AA299" s="17" t="str">
        <f>IF(OR(TEXT(AA$13,"ddd")="Sun",AA$13="",$D299=""),"",IF('Leave Planner'!Y300="",1,0))</f>
        <v/>
      </c>
      <c r="AB299" s="17" t="str">
        <f>IF(OR(TEXT(AB$13,"ddd")="Sun",AB$13="",$D299=""),"",IF('Leave Planner'!Z300="",1,0))</f>
        <v/>
      </c>
      <c r="AC299" s="17" t="str">
        <f>IF(OR(TEXT(AC$13,"ddd")="Sun",AC$13="",$D299=""),"",IF('Leave Planner'!AA300="",1,0))</f>
        <v/>
      </c>
      <c r="AD299" s="17" t="str">
        <f>IF(OR(TEXT(AD$13,"ddd")="Sun",AD$13="",$D299=""),"",IF('Leave Planner'!AB300="",1,0))</f>
        <v/>
      </c>
      <c r="AE299" s="17" t="str">
        <f>IF(OR(TEXT(AE$13,"ddd")="Sun",AE$13="",$D299=""),"",IF('Leave Planner'!AC300="",1,0))</f>
        <v/>
      </c>
      <c r="AF299" s="17" t="str">
        <f>IF(OR(TEXT(AF$13,"ddd")="Sun",AF$13="",$D299=""),"",IF('Leave Planner'!AD300="",1,0))</f>
        <v/>
      </c>
      <c r="AG299" s="17" t="str">
        <f>IF(OR(TEXT(AG$13,"ddd")="Sun",AG$13="",$D299=""),"",IF('Leave Planner'!AE300="",1,0))</f>
        <v/>
      </c>
      <c r="AH299" s="17" t="str">
        <f>IF(OR(TEXT(AH$13,"ddd")="Sun",AH$13="",$D299=""),"",IF('Leave Planner'!AF300="",1,0))</f>
        <v/>
      </c>
      <c r="AI299" s="17" t="str">
        <f>IF(OR(TEXT(AI$13,"ddd")="Sun",AI$13="",$D299=""),"",IF('Leave Planner'!AG300="",1,0))</f>
        <v/>
      </c>
      <c r="AJ299" s="17" t="str">
        <f>IF(OR(TEXT(AJ$13,"ddd")="Sun",AJ$13="",$D299=""),"",IF('Leave Planner'!AH300="",1,0))</f>
        <v/>
      </c>
    </row>
    <row r="300" spans="1:36" x14ac:dyDescent="0.75">
      <c r="B300" s="15"/>
      <c r="C300" s="22"/>
      <c r="D300" s="22"/>
      <c r="E300" s="42" t="str">
        <f t="shared" si="9"/>
        <v/>
      </c>
      <c r="F300" s="17" t="str">
        <f>IF(OR(TEXT(F$13,"ddd")="Sun",F$13="",$D300=""),"",IF('Leave Planner'!D301="",1,0))</f>
        <v/>
      </c>
      <c r="G300" s="17" t="str">
        <f>IF(OR(TEXT(G$13,"ddd")="Sun",G$13="",$D300=""),"",IF('Leave Planner'!E301="",1,0))</f>
        <v/>
      </c>
      <c r="H300" s="17" t="str">
        <f>IF(OR(TEXT(H$13,"ddd")="Sun",H$13="",$D300=""),"",IF('Leave Planner'!F301="",1,0))</f>
        <v/>
      </c>
      <c r="I300" s="17" t="str">
        <f>IF(OR(TEXT(I$13,"ddd")="Sun",I$13="",$D300=""),"",IF('Leave Planner'!G301="",1,0))</f>
        <v/>
      </c>
      <c r="J300" s="17" t="str">
        <f>IF(OR(TEXT(J$13,"ddd")="Sun",J$13="",$D300=""),"",IF('Leave Planner'!H301="",1,0))</f>
        <v/>
      </c>
      <c r="K300" s="17" t="str">
        <f>IF(OR(TEXT(K$13,"ddd")="Sun",K$13="",$D300=""),"",IF('Leave Planner'!I301="",1,0))</f>
        <v/>
      </c>
      <c r="L300" s="17" t="str">
        <f>IF(OR(TEXT(L$13,"ddd")="Sun",L$13="",$D300=""),"",IF('Leave Planner'!J301="",1,0))</f>
        <v/>
      </c>
      <c r="M300" s="17" t="str">
        <f>IF(OR(TEXT(M$13,"ddd")="Sun",M$13="",$D300=""),"",IF('Leave Planner'!K301="",1,0))</f>
        <v/>
      </c>
      <c r="N300" s="17" t="str">
        <f>IF(OR(TEXT(N$13,"ddd")="Sun",N$13="",$D300=""),"",IF('Leave Planner'!L301="",1,0))</f>
        <v/>
      </c>
      <c r="O300" s="17" t="str">
        <f>IF(OR(TEXT(O$13,"ddd")="Sun",O$13="",$D300=""),"",IF('Leave Planner'!M301="",1,0))</f>
        <v/>
      </c>
      <c r="P300" s="17" t="str">
        <f>IF(OR(TEXT(P$13,"ddd")="Sun",P$13="",$D300=""),"",IF('Leave Planner'!N301="",1,0))</f>
        <v/>
      </c>
      <c r="Q300" s="17" t="str">
        <f>IF(OR(TEXT(Q$13,"ddd")="Sun",Q$13="",$D300=""),"",IF('Leave Planner'!O301="",1,0))</f>
        <v/>
      </c>
      <c r="R300" s="17" t="str">
        <f>IF(OR(TEXT(R$13,"ddd")="Sun",R$13="",$D300=""),"",IF('Leave Planner'!P301="",1,0))</f>
        <v/>
      </c>
      <c r="S300" s="17" t="str">
        <f>IF(OR(TEXT(S$13,"ddd")="Sun",S$13="",$D300=""),"",IF('Leave Planner'!Q301="",1,0))</f>
        <v/>
      </c>
      <c r="T300" s="17" t="str">
        <f>IF(OR(TEXT(T$13,"ddd")="Sun",T$13="",$D300=""),"",IF('Leave Planner'!R301="",1,0))</f>
        <v/>
      </c>
      <c r="U300" s="17" t="str">
        <f>IF(OR(TEXT(U$13,"ddd")="Sun",U$13="",$D300=""),"",IF('Leave Planner'!S301="",1,0))</f>
        <v/>
      </c>
      <c r="V300" s="17" t="str">
        <f>IF(OR(TEXT(V$13,"ddd")="Sun",V$13="",$D300=""),"",IF('Leave Planner'!T301="",1,0))</f>
        <v/>
      </c>
      <c r="W300" s="17" t="str">
        <f>IF(OR(TEXT(W$13,"ddd")="Sun",W$13="",$D300=""),"",IF('Leave Planner'!U301="",1,0))</f>
        <v/>
      </c>
      <c r="X300" s="17" t="str">
        <f>IF(OR(TEXT(X$13,"ddd")="Sun",X$13="",$D300=""),"",IF('Leave Planner'!V301="",1,0))</f>
        <v/>
      </c>
      <c r="Y300" s="17" t="str">
        <f>IF(OR(TEXT(Y$13,"ddd")="Sun",Y$13="",$D300=""),"",IF('Leave Planner'!W301="",1,0))</f>
        <v/>
      </c>
      <c r="Z300" s="17" t="str">
        <f>IF(OR(TEXT(Z$13,"ddd")="Sun",Z$13="",$D300=""),"",IF('Leave Planner'!X301="",1,0))</f>
        <v/>
      </c>
      <c r="AA300" s="17" t="str">
        <f>IF(OR(TEXT(AA$13,"ddd")="Sun",AA$13="",$D300=""),"",IF('Leave Planner'!Y301="",1,0))</f>
        <v/>
      </c>
      <c r="AB300" s="17" t="str">
        <f>IF(OR(TEXT(AB$13,"ddd")="Sun",AB$13="",$D300=""),"",IF('Leave Planner'!Z301="",1,0))</f>
        <v/>
      </c>
      <c r="AC300" s="17" t="str">
        <f>IF(OR(TEXT(AC$13,"ddd")="Sun",AC$13="",$D300=""),"",IF('Leave Planner'!AA301="",1,0))</f>
        <v/>
      </c>
      <c r="AD300" s="17" t="str">
        <f>IF(OR(TEXT(AD$13,"ddd")="Sun",AD$13="",$D300=""),"",IF('Leave Planner'!AB301="",1,0))</f>
        <v/>
      </c>
      <c r="AE300" s="17" t="str">
        <f>IF(OR(TEXT(AE$13,"ddd")="Sun",AE$13="",$D300=""),"",IF('Leave Planner'!AC301="",1,0))</f>
        <v/>
      </c>
      <c r="AF300" s="17" t="str">
        <f>IF(OR(TEXT(AF$13,"ddd")="Sun",AF$13="",$D300=""),"",IF('Leave Planner'!AD301="",1,0))</f>
        <v/>
      </c>
      <c r="AG300" s="17" t="str">
        <f>IF(OR(TEXT(AG$13,"ddd")="Sun",AG$13="",$D300=""),"",IF('Leave Planner'!AE301="",1,0))</f>
        <v/>
      </c>
      <c r="AH300" s="17" t="str">
        <f>IF(OR(TEXT(AH$13,"ddd")="Sun",AH$13="",$D300=""),"",IF('Leave Planner'!AF301="",1,0))</f>
        <v/>
      </c>
      <c r="AI300" s="17" t="str">
        <f>IF(OR(TEXT(AI$13,"ddd")="Sun",AI$13="",$D300=""),"",IF('Leave Planner'!AG301="",1,0))</f>
        <v/>
      </c>
      <c r="AJ300" s="17" t="str">
        <f>IF(OR(TEXT(AJ$13,"ddd")="Sun",AJ$13="",$D300=""),"",IF('Leave Planner'!AH301="",1,0))</f>
        <v/>
      </c>
    </row>
    <row r="301" spans="1:36" x14ac:dyDescent="0.75">
      <c r="A301" s="27"/>
      <c r="B301" s="27"/>
      <c r="C301" s="27"/>
      <c r="D301" s="27"/>
      <c r="E301" s="27"/>
    </row>
  </sheetData>
  <mergeCells count="4">
    <mergeCell ref="G4:H4"/>
    <mergeCell ref="G5:H5"/>
    <mergeCell ref="G6:H6"/>
    <mergeCell ref="G7:H7"/>
  </mergeCells>
  <conditionalFormatting sqref="F13:AI13 F14:AJ300">
    <cfRule type="expression" dxfId="1" priority="1">
      <formula>TEXT(F$13, "ddd")="Sun"</formula>
    </cfRule>
  </conditionalFormatting>
  <dataValidations count="1">
    <dataValidation type="list" allowBlank="1" showInputMessage="1" showErrorMessage="1" sqref="D4" xr:uid="{D960C133-8077-4962-90E4-AB8E49C86CE8}">
      <formula1>$A$1:$A$12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687CA-47B4-4B87-BBC1-C476F46CDE45}">
  <sheetPr codeName="Sheet3"/>
  <dimension ref="A1:AH315"/>
  <sheetViews>
    <sheetView showGridLines="0" zoomScale="80" zoomScaleNormal="80" workbookViewId="0">
      <pane xSplit="3" ySplit="14" topLeftCell="D21" activePane="bottomRight" state="frozen"/>
      <selection activeCell="D14" sqref="D14"/>
      <selection pane="topRight" activeCell="D14" sqref="D14"/>
      <selection pane="bottomLeft" activeCell="D14" sqref="D14"/>
      <selection pane="bottomRight" activeCell="D14" sqref="D14"/>
    </sheetView>
  </sheetViews>
  <sheetFormatPr defaultRowHeight="14.75" x14ac:dyDescent="0.75"/>
  <cols>
    <col min="1" max="1" width="4.26953125" bestFit="1" customWidth="1"/>
    <col min="2" max="2" width="10.54296875" customWidth="1"/>
    <col min="3" max="3" width="31.81640625" bestFit="1" customWidth="1"/>
  </cols>
  <sheetData>
    <row r="1" spans="1:34" x14ac:dyDescent="0.75">
      <c r="A1" s="39" t="s">
        <v>52</v>
      </c>
    </row>
    <row r="2" spans="1:34" ht="25.5" x14ac:dyDescent="1.05">
      <c r="A2" s="39" t="s">
        <v>53</v>
      </c>
      <c r="B2" s="1" t="s">
        <v>0</v>
      </c>
      <c r="F2" s="40"/>
      <c r="I2" s="29"/>
    </row>
    <row r="3" spans="1:34" x14ac:dyDescent="0.75">
      <c r="A3" s="39" t="s">
        <v>54</v>
      </c>
      <c r="I3" s="29"/>
      <c r="K3" s="25"/>
      <c r="L3" s="25"/>
    </row>
    <row r="4" spans="1:34" x14ac:dyDescent="0.75">
      <c r="A4" s="39" t="s">
        <v>55</v>
      </c>
      <c r="B4" t="s">
        <v>48</v>
      </c>
      <c r="C4" s="40" t="s">
        <v>55</v>
      </c>
      <c r="E4" s="83" t="s">
        <v>1</v>
      </c>
      <c r="F4" s="84"/>
      <c r="G4" s="2" t="s">
        <v>2</v>
      </c>
      <c r="I4" s="80"/>
      <c r="J4" s="80"/>
      <c r="K4" s="32"/>
      <c r="L4" s="25"/>
    </row>
    <row r="5" spans="1:34" x14ac:dyDescent="0.75">
      <c r="A5" s="39" t="s">
        <v>56</v>
      </c>
      <c r="B5" t="s">
        <v>51</v>
      </c>
      <c r="C5" s="12">
        <f ca="1">YEAR(NOW())</f>
        <v>2022</v>
      </c>
      <c r="E5" s="81" t="s">
        <v>3</v>
      </c>
      <c r="F5" s="82"/>
      <c r="G5" s="3" t="s">
        <v>4</v>
      </c>
      <c r="I5" s="80"/>
      <c r="J5" s="80"/>
      <c r="K5" s="32"/>
      <c r="L5" s="25"/>
    </row>
    <row r="6" spans="1:34" x14ac:dyDescent="0.75">
      <c r="A6" s="39" t="s">
        <v>57</v>
      </c>
      <c r="E6" s="81" t="s">
        <v>66</v>
      </c>
      <c r="F6" s="82"/>
      <c r="G6" s="3" t="s">
        <v>5</v>
      </c>
      <c r="K6" s="25"/>
      <c r="L6" s="25"/>
    </row>
    <row r="7" spans="1:34" x14ac:dyDescent="0.75">
      <c r="A7" s="39" t="s">
        <v>58</v>
      </c>
      <c r="B7" s="31" t="s">
        <v>64</v>
      </c>
      <c r="C7" s="31"/>
      <c r="E7" s="81" t="s">
        <v>6</v>
      </c>
      <c r="F7" s="82"/>
      <c r="G7" s="3" t="s">
        <v>69</v>
      </c>
    </row>
    <row r="8" spans="1:34" x14ac:dyDescent="0.75">
      <c r="A8" s="39" t="s">
        <v>59</v>
      </c>
      <c r="B8" s="31" t="s">
        <v>50</v>
      </c>
      <c r="C8" s="31"/>
      <c r="E8" s="81" t="s">
        <v>7</v>
      </c>
      <c r="F8" s="82"/>
      <c r="G8" s="3" t="s">
        <v>8</v>
      </c>
    </row>
    <row r="9" spans="1:34" x14ac:dyDescent="0.75">
      <c r="A9" s="39" t="s">
        <v>60</v>
      </c>
      <c r="B9" s="31" t="s">
        <v>65</v>
      </c>
      <c r="E9" s="33" t="s">
        <v>9</v>
      </c>
      <c r="F9" s="4"/>
      <c r="G9" s="5"/>
    </row>
    <row r="10" spans="1:34" s="13" customFormat="1" x14ac:dyDescent="0.75">
      <c r="A10" s="39" t="s">
        <v>61</v>
      </c>
      <c r="B10" s="31"/>
      <c r="E10" s="33" t="s">
        <v>67</v>
      </c>
      <c r="F10" s="23"/>
      <c r="G10" s="17"/>
    </row>
    <row r="11" spans="1:34" s="13" customFormat="1" x14ac:dyDescent="0.75">
      <c r="A11" s="39" t="s">
        <v>62</v>
      </c>
      <c r="B11" s="31"/>
      <c r="E11" s="33" t="s">
        <v>68</v>
      </c>
      <c r="F11" s="23"/>
      <c r="G11" s="17"/>
    </row>
    <row r="12" spans="1:34" x14ac:dyDescent="0.75">
      <c r="A12" s="39" t="s">
        <v>63</v>
      </c>
    </row>
    <row r="13" spans="1:34" x14ac:dyDescent="0.75">
      <c r="B13" s="6"/>
      <c r="C13" s="6"/>
      <c r="D13" s="7">
        <v>44652</v>
      </c>
      <c r="E13" s="7">
        <v>44653</v>
      </c>
      <c r="F13" s="7">
        <v>44654</v>
      </c>
      <c r="G13" s="7">
        <v>44655</v>
      </c>
      <c r="H13" s="7">
        <v>44656</v>
      </c>
      <c r="I13" s="7">
        <v>44657</v>
      </c>
      <c r="J13" s="7">
        <v>44658</v>
      </c>
      <c r="K13" s="7">
        <v>44659</v>
      </c>
      <c r="L13" s="7">
        <v>44660</v>
      </c>
      <c r="M13" s="7">
        <v>44661</v>
      </c>
      <c r="N13" s="7">
        <v>44662</v>
      </c>
      <c r="O13" s="7">
        <v>44663</v>
      </c>
      <c r="P13" s="7">
        <v>44664</v>
      </c>
      <c r="Q13" s="7">
        <v>44665</v>
      </c>
      <c r="R13" s="7">
        <v>44666</v>
      </c>
      <c r="S13" s="7">
        <v>44667</v>
      </c>
      <c r="T13" s="7">
        <v>44668</v>
      </c>
      <c r="U13" s="7">
        <v>44669</v>
      </c>
      <c r="V13" s="7">
        <v>44670</v>
      </c>
      <c r="W13" s="7">
        <v>44671</v>
      </c>
      <c r="X13" s="7">
        <v>44672</v>
      </c>
      <c r="Y13" s="7">
        <v>44673</v>
      </c>
      <c r="Z13" s="7">
        <v>44674</v>
      </c>
      <c r="AA13" s="7">
        <v>44675</v>
      </c>
      <c r="AB13" s="7">
        <v>44676</v>
      </c>
      <c r="AC13" s="7">
        <v>44677</v>
      </c>
      <c r="AD13" s="7">
        <v>44678</v>
      </c>
      <c r="AE13" s="7">
        <v>44679</v>
      </c>
      <c r="AF13" s="7">
        <v>44680</v>
      </c>
      <c r="AG13" s="7">
        <v>44681</v>
      </c>
      <c r="AH13" s="8"/>
    </row>
    <row r="14" spans="1:34" x14ac:dyDescent="0.75">
      <c r="A14" s="30"/>
      <c r="B14" s="9" t="s">
        <v>10</v>
      </c>
      <c r="C14" s="10" t="s">
        <v>11</v>
      </c>
      <c r="D14" s="11">
        <f t="shared" ref="D14" si="0">DAY(D13)</f>
        <v>1</v>
      </c>
      <c r="E14" s="11">
        <f>DAY(E13)</f>
        <v>2</v>
      </c>
      <c r="F14" s="11">
        <f t="shared" ref="F14:AG14" si="1">DAY(F13)</f>
        <v>3</v>
      </c>
      <c r="G14" s="11">
        <f t="shared" si="1"/>
        <v>4</v>
      </c>
      <c r="H14" s="11">
        <f t="shared" si="1"/>
        <v>5</v>
      </c>
      <c r="I14" s="11">
        <f t="shared" si="1"/>
        <v>6</v>
      </c>
      <c r="J14" s="11">
        <f t="shared" si="1"/>
        <v>7</v>
      </c>
      <c r="K14" s="11">
        <f t="shared" si="1"/>
        <v>8</v>
      </c>
      <c r="L14" s="11">
        <f t="shared" si="1"/>
        <v>9</v>
      </c>
      <c r="M14" s="11">
        <f t="shared" si="1"/>
        <v>10</v>
      </c>
      <c r="N14" s="11">
        <f t="shared" si="1"/>
        <v>11</v>
      </c>
      <c r="O14" s="11">
        <f t="shared" si="1"/>
        <v>12</v>
      </c>
      <c r="P14" s="11">
        <f t="shared" si="1"/>
        <v>13</v>
      </c>
      <c r="Q14" s="11">
        <f t="shared" si="1"/>
        <v>14</v>
      </c>
      <c r="R14" s="11">
        <f t="shared" si="1"/>
        <v>15</v>
      </c>
      <c r="S14" s="11">
        <f t="shared" si="1"/>
        <v>16</v>
      </c>
      <c r="T14" s="11">
        <f t="shared" si="1"/>
        <v>17</v>
      </c>
      <c r="U14" s="11">
        <f t="shared" si="1"/>
        <v>18</v>
      </c>
      <c r="V14" s="11">
        <f t="shared" si="1"/>
        <v>19</v>
      </c>
      <c r="W14" s="11">
        <f t="shared" si="1"/>
        <v>20</v>
      </c>
      <c r="X14" s="11">
        <f t="shared" si="1"/>
        <v>21</v>
      </c>
      <c r="Y14" s="11">
        <f t="shared" si="1"/>
        <v>22</v>
      </c>
      <c r="Z14" s="11">
        <f t="shared" si="1"/>
        <v>23</v>
      </c>
      <c r="AA14" s="11">
        <f t="shared" si="1"/>
        <v>24</v>
      </c>
      <c r="AB14" s="11">
        <f t="shared" si="1"/>
        <v>25</v>
      </c>
      <c r="AC14" s="11">
        <f t="shared" si="1"/>
        <v>26</v>
      </c>
      <c r="AD14" s="11">
        <f t="shared" si="1"/>
        <v>27</v>
      </c>
      <c r="AE14" s="11">
        <f t="shared" si="1"/>
        <v>28</v>
      </c>
      <c r="AF14" s="11">
        <f t="shared" si="1"/>
        <v>29</v>
      </c>
      <c r="AG14" s="11">
        <f t="shared" si="1"/>
        <v>30</v>
      </c>
      <c r="AH14" s="11"/>
    </row>
    <row r="15" spans="1:34" s="17" customFormat="1" x14ac:dyDescent="0.75">
      <c r="A15"/>
      <c r="B15" s="5" t="s">
        <v>12</v>
      </c>
      <c r="C15" s="12" t="s">
        <v>13</v>
      </c>
      <c r="D15"/>
      <c r="S15" s="17" t="s">
        <v>4</v>
      </c>
      <c r="T15" s="17" t="s">
        <v>4</v>
      </c>
      <c r="U15" s="17" t="s">
        <v>4</v>
      </c>
      <c r="V15" s="17" t="s">
        <v>4</v>
      </c>
      <c r="W15" s="17" t="s">
        <v>4</v>
      </c>
      <c r="X15" s="17" t="s">
        <v>4</v>
      </c>
    </row>
    <row r="16" spans="1:34" s="17" customFormat="1" x14ac:dyDescent="0.75">
      <c r="A16"/>
      <c r="B16" s="5" t="s">
        <v>14</v>
      </c>
      <c r="C16" s="12" t="s">
        <v>15</v>
      </c>
      <c r="D16"/>
      <c r="J16" s="17" t="s">
        <v>8</v>
      </c>
    </row>
    <row r="17" spans="1:33" s="17" customFormat="1" x14ac:dyDescent="0.75">
      <c r="A17"/>
      <c r="B17" s="5" t="s">
        <v>16</v>
      </c>
      <c r="C17" s="12" t="s">
        <v>17</v>
      </c>
      <c r="D17"/>
      <c r="AG17" s="17" t="s">
        <v>4</v>
      </c>
    </row>
    <row r="18" spans="1:33" s="17" customFormat="1" x14ac:dyDescent="0.75">
      <c r="A18"/>
      <c r="B18" s="5" t="s">
        <v>18</v>
      </c>
      <c r="C18" s="12" t="s">
        <v>19</v>
      </c>
      <c r="D18"/>
      <c r="Z18" s="17" t="s">
        <v>4</v>
      </c>
    </row>
    <row r="19" spans="1:33" s="17" customFormat="1" x14ac:dyDescent="0.75">
      <c r="A19"/>
      <c r="B19" s="5" t="s">
        <v>20</v>
      </c>
      <c r="C19" s="12" t="s">
        <v>21</v>
      </c>
      <c r="D19"/>
      <c r="E19" s="17" t="s">
        <v>4</v>
      </c>
    </row>
    <row r="20" spans="1:33" s="17" customFormat="1" x14ac:dyDescent="0.75">
      <c r="A20"/>
      <c r="B20" s="5" t="s">
        <v>22</v>
      </c>
      <c r="C20" s="12" t="s">
        <v>23</v>
      </c>
      <c r="D20"/>
      <c r="U20" s="17" t="s">
        <v>8</v>
      </c>
    </row>
    <row r="21" spans="1:33" s="17" customFormat="1" x14ac:dyDescent="0.75">
      <c r="A21"/>
      <c r="B21" s="5" t="s">
        <v>24</v>
      </c>
      <c r="C21" s="12" t="s">
        <v>25</v>
      </c>
      <c r="D21"/>
      <c r="Q21" s="17" t="s">
        <v>4</v>
      </c>
    </row>
    <row r="22" spans="1:33" s="17" customFormat="1" x14ac:dyDescent="0.75">
      <c r="A22"/>
      <c r="B22" s="5" t="s">
        <v>26</v>
      </c>
      <c r="C22" s="12" t="s">
        <v>27</v>
      </c>
      <c r="D22"/>
      <c r="AE22" s="17" t="s">
        <v>4</v>
      </c>
    </row>
    <row r="23" spans="1:33" s="17" customFormat="1" x14ac:dyDescent="0.75">
      <c r="A23"/>
      <c r="B23" s="5" t="s">
        <v>28</v>
      </c>
      <c r="C23" s="12" t="s">
        <v>29</v>
      </c>
      <c r="D23"/>
      <c r="Z23" s="17" t="s">
        <v>4</v>
      </c>
    </row>
    <row r="24" spans="1:33" s="17" customFormat="1" x14ac:dyDescent="0.75">
      <c r="A24"/>
      <c r="B24" s="5" t="s">
        <v>30</v>
      </c>
      <c r="C24" s="12" t="s">
        <v>31</v>
      </c>
      <c r="D24"/>
    </row>
    <row r="25" spans="1:33" s="17" customFormat="1" x14ac:dyDescent="0.75">
      <c r="A25"/>
      <c r="B25" s="5" t="s">
        <v>32</v>
      </c>
      <c r="C25" s="12" t="s">
        <v>33</v>
      </c>
      <c r="D25"/>
    </row>
    <row r="26" spans="1:33" s="17" customFormat="1" x14ac:dyDescent="0.75">
      <c r="A26"/>
      <c r="B26" s="5" t="s">
        <v>34</v>
      </c>
      <c r="C26" s="12" t="s">
        <v>35</v>
      </c>
      <c r="D26"/>
      <c r="L26" s="17" t="s">
        <v>4</v>
      </c>
      <c r="M26" s="17" t="s">
        <v>4</v>
      </c>
      <c r="N26" s="17" t="s">
        <v>4</v>
      </c>
    </row>
    <row r="27" spans="1:33" s="17" customFormat="1" x14ac:dyDescent="0.75">
      <c r="A27"/>
      <c r="B27" s="5" t="s">
        <v>36</v>
      </c>
      <c r="C27" s="12" t="s">
        <v>37</v>
      </c>
      <c r="D27"/>
    </row>
    <row r="28" spans="1:33" s="17" customFormat="1" x14ac:dyDescent="0.75">
      <c r="A28"/>
      <c r="B28" s="5" t="s">
        <v>38</v>
      </c>
      <c r="C28" s="12" t="s">
        <v>39</v>
      </c>
      <c r="D28"/>
      <c r="AC28" s="17" t="s">
        <v>8</v>
      </c>
    </row>
    <row r="29" spans="1:33" s="17" customFormat="1" x14ac:dyDescent="0.75">
      <c r="A29"/>
      <c r="B29" s="5" t="s">
        <v>40</v>
      </c>
      <c r="C29" s="12" t="s">
        <v>41</v>
      </c>
      <c r="D29"/>
    </row>
    <row r="30" spans="1:33" s="17" customFormat="1" x14ac:dyDescent="0.75">
      <c r="A30"/>
      <c r="B30"/>
      <c r="C30"/>
      <c r="D30"/>
    </row>
    <row r="31" spans="1:33" s="17" customFormat="1" x14ac:dyDescent="0.75">
      <c r="A31"/>
      <c r="B31"/>
      <c r="C31"/>
      <c r="D31"/>
    </row>
    <row r="32" spans="1:33" s="17" customFormat="1" x14ac:dyDescent="0.75">
      <c r="A32"/>
      <c r="B32"/>
      <c r="C32"/>
      <c r="D32"/>
    </row>
    <row r="33" spans="1:4" s="17" customFormat="1" x14ac:dyDescent="0.75">
      <c r="A33"/>
      <c r="B33"/>
      <c r="C33"/>
      <c r="D33"/>
    </row>
    <row r="34" spans="1:4" s="17" customFormat="1" x14ac:dyDescent="0.75">
      <c r="A34"/>
      <c r="B34"/>
      <c r="C34"/>
      <c r="D34"/>
    </row>
    <row r="35" spans="1:4" s="17" customFormat="1" x14ac:dyDescent="0.75">
      <c r="A35"/>
      <c r="B35"/>
      <c r="C35"/>
      <c r="D35"/>
    </row>
    <row r="36" spans="1:4" s="17" customFormat="1" x14ac:dyDescent="0.75">
      <c r="A36"/>
      <c r="B36"/>
      <c r="C36"/>
      <c r="D36"/>
    </row>
    <row r="37" spans="1:4" s="17" customFormat="1" x14ac:dyDescent="0.75">
      <c r="A37"/>
      <c r="B37"/>
      <c r="C37"/>
      <c r="D37"/>
    </row>
    <row r="38" spans="1:4" s="17" customFormat="1" x14ac:dyDescent="0.75">
      <c r="A38"/>
      <c r="B38"/>
      <c r="C38"/>
      <c r="D38"/>
    </row>
    <row r="39" spans="1:4" s="17" customFormat="1" x14ac:dyDescent="0.75">
      <c r="A39"/>
      <c r="B39"/>
      <c r="C39"/>
      <c r="D39"/>
    </row>
    <row r="40" spans="1:4" s="17" customFormat="1" x14ac:dyDescent="0.75">
      <c r="A40"/>
      <c r="B40"/>
      <c r="C40"/>
      <c r="D40"/>
    </row>
    <row r="41" spans="1:4" s="17" customFormat="1" x14ac:dyDescent="0.75">
      <c r="A41"/>
      <c r="B41"/>
      <c r="C41"/>
      <c r="D41"/>
    </row>
    <row r="42" spans="1:4" s="17" customFormat="1" x14ac:dyDescent="0.75">
      <c r="A42"/>
      <c r="B42"/>
      <c r="C42"/>
      <c r="D42"/>
    </row>
    <row r="43" spans="1:4" s="17" customFormat="1" x14ac:dyDescent="0.75">
      <c r="A43"/>
      <c r="B43"/>
      <c r="C43"/>
      <c r="D43"/>
    </row>
    <row r="44" spans="1:4" s="17" customFormat="1" x14ac:dyDescent="0.75">
      <c r="A44"/>
      <c r="B44"/>
      <c r="C44"/>
      <c r="D44"/>
    </row>
    <row r="45" spans="1:4" s="17" customFormat="1" x14ac:dyDescent="0.75">
      <c r="A45"/>
      <c r="B45"/>
      <c r="C45"/>
      <c r="D45"/>
    </row>
    <row r="46" spans="1:4" s="17" customFormat="1" x14ac:dyDescent="0.75">
      <c r="A46"/>
      <c r="B46"/>
      <c r="C46"/>
      <c r="D46"/>
    </row>
    <row r="47" spans="1:4" s="17" customFormat="1" x14ac:dyDescent="0.75">
      <c r="A47"/>
      <c r="B47"/>
      <c r="C47"/>
      <c r="D47"/>
    </row>
    <row r="48" spans="1:4" s="17" customFormat="1" x14ac:dyDescent="0.75">
      <c r="A48"/>
      <c r="B48"/>
      <c r="C48"/>
      <c r="D48"/>
    </row>
    <row r="49" spans="1:4" s="17" customFormat="1" x14ac:dyDescent="0.75">
      <c r="A49"/>
      <c r="B49"/>
      <c r="C49"/>
      <c r="D49"/>
    </row>
    <row r="50" spans="1:4" s="17" customFormat="1" x14ac:dyDescent="0.75">
      <c r="A50"/>
      <c r="B50"/>
      <c r="C50"/>
      <c r="D50"/>
    </row>
    <row r="51" spans="1:4" s="17" customFormat="1" x14ac:dyDescent="0.75">
      <c r="A51"/>
      <c r="B51"/>
      <c r="C51"/>
      <c r="D51"/>
    </row>
    <row r="52" spans="1:4" s="17" customFormat="1" x14ac:dyDescent="0.75">
      <c r="A52"/>
      <c r="B52"/>
      <c r="C52"/>
      <c r="D52"/>
    </row>
    <row r="53" spans="1:4" s="17" customFormat="1" x14ac:dyDescent="0.75">
      <c r="A53"/>
      <c r="B53"/>
      <c r="C53"/>
      <c r="D53"/>
    </row>
    <row r="54" spans="1:4" s="17" customFormat="1" x14ac:dyDescent="0.75">
      <c r="A54"/>
      <c r="B54"/>
      <c r="C54"/>
      <c r="D54"/>
    </row>
    <row r="55" spans="1:4" s="17" customFormat="1" x14ac:dyDescent="0.75">
      <c r="A55"/>
      <c r="B55"/>
      <c r="C55"/>
      <c r="D55"/>
    </row>
    <row r="56" spans="1:4" s="17" customFormat="1" x14ac:dyDescent="0.75">
      <c r="A56"/>
      <c r="B56"/>
      <c r="C56"/>
      <c r="D56"/>
    </row>
    <row r="57" spans="1:4" s="17" customFormat="1" x14ac:dyDescent="0.75">
      <c r="A57"/>
      <c r="B57"/>
      <c r="C57"/>
      <c r="D57"/>
    </row>
    <row r="58" spans="1:4" s="17" customFormat="1" x14ac:dyDescent="0.75">
      <c r="A58"/>
      <c r="B58"/>
      <c r="C58"/>
      <c r="D58"/>
    </row>
    <row r="59" spans="1:4" s="17" customFormat="1" x14ac:dyDescent="0.75">
      <c r="A59"/>
      <c r="B59"/>
      <c r="C59"/>
      <c r="D59"/>
    </row>
    <row r="60" spans="1:4" s="17" customFormat="1" x14ac:dyDescent="0.75">
      <c r="A60"/>
      <c r="B60"/>
      <c r="C60"/>
      <c r="D60"/>
    </row>
    <row r="61" spans="1:4" s="17" customFormat="1" x14ac:dyDescent="0.75">
      <c r="A61"/>
      <c r="B61"/>
      <c r="C61"/>
      <c r="D61"/>
    </row>
    <row r="62" spans="1:4" s="17" customFormat="1" x14ac:dyDescent="0.75">
      <c r="A62"/>
      <c r="B62"/>
      <c r="C62"/>
      <c r="D62"/>
    </row>
    <row r="63" spans="1:4" s="17" customFormat="1" x14ac:dyDescent="0.75">
      <c r="A63"/>
      <c r="B63"/>
      <c r="C63"/>
      <c r="D63"/>
    </row>
    <row r="64" spans="1:4" s="17" customFormat="1" x14ac:dyDescent="0.75">
      <c r="A64"/>
      <c r="B64"/>
      <c r="C64"/>
      <c r="D64"/>
    </row>
    <row r="65" spans="1:4" s="17" customFormat="1" x14ac:dyDescent="0.75">
      <c r="A65"/>
      <c r="B65"/>
      <c r="C65"/>
      <c r="D65"/>
    </row>
    <row r="66" spans="1:4" s="17" customFormat="1" x14ac:dyDescent="0.75">
      <c r="A66"/>
      <c r="B66"/>
      <c r="C66"/>
      <c r="D66"/>
    </row>
    <row r="67" spans="1:4" s="17" customFormat="1" x14ac:dyDescent="0.75">
      <c r="A67"/>
      <c r="B67"/>
      <c r="C67"/>
      <c r="D67"/>
    </row>
    <row r="68" spans="1:4" s="17" customFormat="1" x14ac:dyDescent="0.75">
      <c r="A68"/>
      <c r="B68"/>
      <c r="C68"/>
      <c r="D68"/>
    </row>
    <row r="69" spans="1:4" s="17" customFormat="1" x14ac:dyDescent="0.75">
      <c r="A69"/>
      <c r="B69"/>
      <c r="C69"/>
      <c r="D69"/>
    </row>
    <row r="70" spans="1:4" s="17" customFormat="1" x14ac:dyDescent="0.75">
      <c r="A70"/>
      <c r="B70"/>
      <c r="C70"/>
      <c r="D70"/>
    </row>
    <row r="71" spans="1:4" s="17" customFormat="1" x14ac:dyDescent="0.75">
      <c r="A71"/>
      <c r="B71"/>
      <c r="C71"/>
      <c r="D71"/>
    </row>
    <row r="72" spans="1:4" s="17" customFormat="1" x14ac:dyDescent="0.75">
      <c r="A72"/>
      <c r="B72"/>
      <c r="C72"/>
      <c r="D72"/>
    </row>
    <row r="73" spans="1:4" s="17" customFormat="1" x14ac:dyDescent="0.75">
      <c r="A73"/>
      <c r="B73"/>
      <c r="C73"/>
      <c r="D73"/>
    </row>
    <row r="74" spans="1:4" s="17" customFormat="1" x14ac:dyDescent="0.75">
      <c r="A74"/>
      <c r="B74"/>
      <c r="C74"/>
      <c r="D74"/>
    </row>
    <row r="75" spans="1:4" s="17" customFormat="1" x14ac:dyDescent="0.75">
      <c r="A75"/>
      <c r="B75"/>
      <c r="C75"/>
      <c r="D75"/>
    </row>
    <row r="76" spans="1:4" s="17" customFormat="1" x14ac:dyDescent="0.75">
      <c r="A76"/>
      <c r="B76"/>
      <c r="C76"/>
      <c r="D76"/>
    </row>
    <row r="77" spans="1:4" s="17" customFormat="1" x14ac:dyDescent="0.75">
      <c r="A77"/>
      <c r="B77"/>
      <c r="C77"/>
      <c r="D77"/>
    </row>
    <row r="78" spans="1:4" s="17" customFormat="1" x14ac:dyDescent="0.75">
      <c r="A78"/>
      <c r="B78"/>
      <c r="C78"/>
      <c r="D78"/>
    </row>
    <row r="79" spans="1:4" s="17" customFormat="1" x14ac:dyDescent="0.75">
      <c r="A79"/>
      <c r="B79"/>
      <c r="C79"/>
      <c r="D79"/>
    </row>
    <row r="80" spans="1:4" s="17" customFormat="1" x14ac:dyDescent="0.75">
      <c r="A80"/>
      <c r="B80"/>
      <c r="C80"/>
      <c r="D80"/>
    </row>
    <row r="81" spans="1:4" s="17" customFormat="1" x14ac:dyDescent="0.75">
      <c r="A81"/>
      <c r="B81"/>
      <c r="C81"/>
      <c r="D81"/>
    </row>
    <row r="82" spans="1:4" s="17" customFormat="1" x14ac:dyDescent="0.75">
      <c r="A82"/>
      <c r="B82"/>
      <c r="C82"/>
      <c r="D82"/>
    </row>
    <row r="83" spans="1:4" s="17" customFormat="1" x14ac:dyDescent="0.75">
      <c r="A83"/>
      <c r="B83"/>
      <c r="C83"/>
      <c r="D83"/>
    </row>
    <row r="84" spans="1:4" s="17" customFormat="1" x14ac:dyDescent="0.75">
      <c r="A84"/>
      <c r="B84"/>
      <c r="C84"/>
      <c r="D84"/>
    </row>
    <row r="85" spans="1:4" s="17" customFormat="1" x14ac:dyDescent="0.75">
      <c r="A85"/>
      <c r="B85"/>
      <c r="C85"/>
      <c r="D85"/>
    </row>
    <row r="86" spans="1:4" s="17" customFormat="1" x14ac:dyDescent="0.75">
      <c r="A86"/>
      <c r="B86"/>
      <c r="C86"/>
      <c r="D86"/>
    </row>
    <row r="87" spans="1:4" s="17" customFormat="1" x14ac:dyDescent="0.75">
      <c r="A87"/>
      <c r="B87"/>
      <c r="C87"/>
      <c r="D87"/>
    </row>
    <row r="88" spans="1:4" s="17" customFormat="1" x14ac:dyDescent="0.75">
      <c r="A88"/>
      <c r="B88"/>
      <c r="C88"/>
      <c r="D88"/>
    </row>
    <row r="89" spans="1:4" s="17" customFormat="1" x14ac:dyDescent="0.75">
      <c r="A89"/>
      <c r="B89"/>
      <c r="C89"/>
      <c r="D89"/>
    </row>
    <row r="90" spans="1:4" s="17" customFormat="1" x14ac:dyDescent="0.75">
      <c r="A90"/>
      <c r="B90"/>
      <c r="C90"/>
      <c r="D90"/>
    </row>
    <row r="91" spans="1:4" s="17" customFormat="1" x14ac:dyDescent="0.75">
      <c r="A91"/>
      <c r="B91"/>
      <c r="C91"/>
      <c r="D91"/>
    </row>
    <row r="92" spans="1:4" s="17" customFormat="1" x14ac:dyDescent="0.75">
      <c r="A92"/>
      <c r="B92"/>
      <c r="C92"/>
      <c r="D92"/>
    </row>
    <row r="93" spans="1:4" s="17" customFormat="1" x14ac:dyDescent="0.75">
      <c r="A93"/>
      <c r="B93"/>
      <c r="C93"/>
      <c r="D93"/>
    </row>
    <row r="94" spans="1:4" s="17" customFormat="1" x14ac:dyDescent="0.75">
      <c r="A94"/>
      <c r="B94"/>
      <c r="C94"/>
      <c r="D94"/>
    </row>
    <row r="95" spans="1:4" s="17" customFormat="1" x14ac:dyDescent="0.75">
      <c r="A95"/>
      <c r="B95"/>
      <c r="C95"/>
      <c r="D95"/>
    </row>
    <row r="96" spans="1:4" s="17" customFormat="1" x14ac:dyDescent="0.75">
      <c r="A96"/>
      <c r="B96"/>
      <c r="C96"/>
      <c r="D96"/>
    </row>
    <row r="97" spans="1:4" s="17" customFormat="1" x14ac:dyDescent="0.75">
      <c r="A97"/>
      <c r="B97"/>
      <c r="C97"/>
      <c r="D97"/>
    </row>
    <row r="98" spans="1:4" s="17" customFormat="1" x14ac:dyDescent="0.75">
      <c r="A98"/>
      <c r="B98"/>
      <c r="C98"/>
      <c r="D98"/>
    </row>
    <row r="99" spans="1:4" s="17" customFormat="1" x14ac:dyDescent="0.75">
      <c r="A99"/>
      <c r="B99"/>
      <c r="C99"/>
      <c r="D99"/>
    </row>
    <row r="100" spans="1:4" s="17" customFormat="1" x14ac:dyDescent="0.75">
      <c r="A100"/>
      <c r="B100"/>
      <c r="C100"/>
      <c r="D100"/>
    </row>
    <row r="101" spans="1:4" s="17" customFormat="1" x14ac:dyDescent="0.75">
      <c r="A101"/>
      <c r="B101"/>
      <c r="C101"/>
      <c r="D101"/>
    </row>
    <row r="102" spans="1:4" s="17" customFormat="1" x14ac:dyDescent="0.75">
      <c r="A102"/>
      <c r="B102"/>
      <c r="C102"/>
      <c r="D102"/>
    </row>
    <row r="103" spans="1:4" s="17" customFormat="1" x14ac:dyDescent="0.75">
      <c r="A103"/>
      <c r="B103"/>
      <c r="C103"/>
      <c r="D103"/>
    </row>
    <row r="104" spans="1:4" s="17" customFormat="1" x14ac:dyDescent="0.75">
      <c r="A104"/>
      <c r="B104"/>
      <c r="C104"/>
      <c r="D104"/>
    </row>
    <row r="105" spans="1:4" s="17" customFormat="1" x14ac:dyDescent="0.75">
      <c r="A105"/>
      <c r="B105"/>
      <c r="C105"/>
      <c r="D105"/>
    </row>
    <row r="106" spans="1:4" s="17" customFormat="1" x14ac:dyDescent="0.75">
      <c r="A106"/>
      <c r="B106"/>
      <c r="C106"/>
      <c r="D106"/>
    </row>
    <row r="107" spans="1:4" s="17" customFormat="1" x14ac:dyDescent="0.75">
      <c r="A107"/>
      <c r="B107"/>
      <c r="C107"/>
      <c r="D107"/>
    </row>
    <row r="108" spans="1:4" s="17" customFormat="1" x14ac:dyDescent="0.75">
      <c r="A108"/>
      <c r="B108"/>
      <c r="C108"/>
      <c r="D108"/>
    </row>
    <row r="109" spans="1:4" s="17" customFormat="1" x14ac:dyDescent="0.75">
      <c r="A109"/>
      <c r="B109"/>
      <c r="C109"/>
      <c r="D109"/>
    </row>
    <row r="110" spans="1:4" s="17" customFormat="1" x14ac:dyDescent="0.75">
      <c r="A110"/>
      <c r="B110"/>
      <c r="C110"/>
      <c r="D110"/>
    </row>
    <row r="111" spans="1:4" s="17" customFormat="1" x14ac:dyDescent="0.75">
      <c r="A111"/>
      <c r="B111"/>
      <c r="C111"/>
      <c r="D111"/>
    </row>
    <row r="112" spans="1:4" s="17" customFormat="1" x14ac:dyDescent="0.75">
      <c r="A112"/>
      <c r="B112"/>
      <c r="C112"/>
      <c r="D112"/>
    </row>
    <row r="113" spans="1:4" s="17" customFormat="1" x14ac:dyDescent="0.75">
      <c r="A113"/>
      <c r="B113"/>
      <c r="C113"/>
      <c r="D113"/>
    </row>
    <row r="114" spans="1:4" s="17" customFormat="1" x14ac:dyDescent="0.75">
      <c r="A114"/>
      <c r="B114"/>
      <c r="C114"/>
      <c r="D114"/>
    </row>
    <row r="115" spans="1:4" s="17" customFormat="1" x14ac:dyDescent="0.75">
      <c r="A115"/>
      <c r="B115"/>
      <c r="C115"/>
      <c r="D115"/>
    </row>
    <row r="116" spans="1:4" s="17" customFormat="1" x14ac:dyDescent="0.75">
      <c r="A116"/>
      <c r="B116"/>
      <c r="C116"/>
      <c r="D116"/>
    </row>
    <row r="117" spans="1:4" s="17" customFormat="1" x14ac:dyDescent="0.75">
      <c r="A117"/>
      <c r="B117"/>
      <c r="C117"/>
      <c r="D117"/>
    </row>
    <row r="118" spans="1:4" s="17" customFormat="1" x14ac:dyDescent="0.75">
      <c r="A118"/>
      <c r="B118"/>
      <c r="C118"/>
      <c r="D118"/>
    </row>
    <row r="119" spans="1:4" s="17" customFormat="1" x14ac:dyDescent="0.75">
      <c r="A119"/>
      <c r="B119"/>
      <c r="C119"/>
      <c r="D119"/>
    </row>
    <row r="120" spans="1:4" s="17" customFormat="1" x14ac:dyDescent="0.75">
      <c r="A120"/>
      <c r="B120"/>
      <c r="C120"/>
      <c r="D120"/>
    </row>
    <row r="121" spans="1:4" s="17" customFormat="1" x14ac:dyDescent="0.75">
      <c r="A121"/>
      <c r="B121"/>
      <c r="C121"/>
      <c r="D121"/>
    </row>
    <row r="122" spans="1:4" s="17" customFormat="1" x14ac:dyDescent="0.75">
      <c r="A122"/>
      <c r="B122"/>
      <c r="C122"/>
      <c r="D122"/>
    </row>
    <row r="123" spans="1:4" s="17" customFormat="1" x14ac:dyDescent="0.75">
      <c r="A123"/>
      <c r="B123"/>
      <c r="C123"/>
      <c r="D123"/>
    </row>
    <row r="124" spans="1:4" s="17" customFormat="1" x14ac:dyDescent="0.75">
      <c r="A124"/>
      <c r="B124"/>
      <c r="C124"/>
      <c r="D124"/>
    </row>
    <row r="125" spans="1:4" s="17" customFormat="1" x14ac:dyDescent="0.75">
      <c r="A125"/>
      <c r="B125"/>
      <c r="C125"/>
      <c r="D125"/>
    </row>
    <row r="126" spans="1:4" s="17" customFormat="1" x14ac:dyDescent="0.75">
      <c r="A126"/>
      <c r="B126"/>
      <c r="C126"/>
      <c r="D126"/>
    </row>
    <row r="127" spans="1:4" s="17" customFormat="1" x14ac:dyDescent="0.75">
      <c r="A127"/>
      <c r="B127"/>
      <c r="C127"/>
      <c r="D127"/>
    </row>
    <row r="128" spans="1:4" s="17" customFormat="1" x14ac:dyDescent="0.75">
      <c r="A128"/>
      <c r="B128"/>
      <c r="C128"/>
      <c r="D128"/>
    </row>
    <row r="129" spans="1:4" s="17" customFormat="1" x14ac:dyDescent="0.75">
      <c r="A129"/>
      <c r="B129"/>
      <c r="C129"/>
      <c r="D129"/>
    </row>
    <row r="130" spans="1:4" s="17" customFormat="1" x14ac:dyDescent="0.75">
      <c r="A130"/>
      <c r="B130"/>
      <c r="C130"/>
      <c r="D130"/>
    </row>
    <row r="131" spans="1:4" s="17" customFormat="1" x14ac:dyDescent="0.75">
      <c r="A131"/>
      <c r="B131"/>
      <c r="C131"/>
      <c r="D131"/>
    </row>
    <row r="132" spans="1:4" s="17" customFormat="1" x14ac:dyDescent="0.75">
      <c r="A132"/>
      <c r="B132"/>
      <c r="C132"/>
      <c r="D132"/>
    </row>
    <row r="133" spans="1:4" s="17" customFormat="1" x14ac:dyDescent="0.75">
      <c r="A133"/>
      <c r="B133"/>
      <c r="C133"/>
      <c r="D133"/>
    </row>
    <row r="134" spans="1:4" s="17" customFormat="1" x14ac:dyDescent="0.75">
      <c r="A134"/>
      <c r="B134"/>
      <c r="C134"/>
      <c r="D134"/>
    </row>
    <row r="135" spans="1:4" s="17" customFormat="1" x14ac:dyDescent="0.75">
      <c r="A135"/>
      <c r="B135"/>
      <c r="C135"/>
      <c r="D135"/>
    </row>
    <row r="136" spans="1:4" s="17" customFormat="1" x14ac:dyDescent="0.75">
      <c r="A136"/>
      <c r="B136"/>
      <c r="C136"/>
      <c r="D136"/>
    </row>
    <row r="137" spans="1:4" s="17" customFormat="1" x14ac:dyDescent="0.75">
      <c r="A137"/>
      <c r="B137"/>
      <c r="C137"/>
      <c r="D137"/>
    </row>
    <row r="138" spans="1:4" s="17" customFormat="1" x14ac:dyDescent="0.75">
      <c r="A138"/>
      <c r="B138"/>
      <c r="C138"/>
      <c r="D138"/>
    </row>
    <row r="139" spans="1:4" s="17" customFormat="1" x14ac:dyDescent="0.75">
      <c r="A139"/>
      <c r="B139"/>
      <c r="C139"/>
      <c r="D139"/>
    </row>
    <row r="140" spans="1:4" s="17" customFormat="1" x14ac:dyDescent="0.75">
      <c r="A140"/>
      <c r="B140"/>
      <c r="C140"/>
      <c r="D140"/>
    </row>
    <row r="141" spans="1:4" s="17" customFormat="1" x14ac:dyDescent="0.75">
      <c r="A141"/>
      <c r="B141"/>
      <c r="C141"/>
      <c r="D141"/>
    </row>
    <row r="142" spans="1:4" s="17" customFormat="1" x14ac:dyDescent="0.75">
      <c r="A142"/>
      <c r="B142"/>
      <c r="C142"/>
      <c r="D142"/>
    </row>
    <row r="143" spans="1:4" s="17" customFormat="1" x14ac:dyDescent="0.75">
      <c r="A143"/>
      <c r="B143"/>
      <c r="C143"/>
      <c r="D143"/>
    </row>
    <row r="144" spans="1:4" s="17" customFormat="1" x14ac:dyDescent="0.75">
      <c r="A144"/>
      <c r="B144"/>
      <c r="C144"/>
      <c r="D144"/>
    </row>
    <row r="145" spans="1:4" s="17" customFormat="1" x14ac:dyDescent="0.75">
      <c r="A145"/>
      <c r="B145"/>
      <c r="C145"/>
      <c r="D145"/>
    </row>
    <row r="146" spans="1:4" s="17" customFormat="1" x14ac:dyDescent="0.75">
      <c r="A146"/>
      <c r="B146"/>
      <c r="C146"/>
      <c r="D146"/>
    </row>
    <row r="147" spans="1:4" s="17" customFormat="1" x14ac:dyDescent="0.75">
      <c r="A147"/>
      <c r="B147"/>
      <c r="C147"/>
      <c r="D147"/>
    </row>
    <row r="148" spans="1:4" s="17" customFormat="1" x14ac:dyDescent="0.75">
      <c r="A148"/>
      <c r="B148"/>
      <c r="C148"/>
      <c r="D148"/>
    </row>
    <row r="149" spans="1:4" s="17" customFormat="1" x14ac:dyDescent="0.75">
      <c r="A149"/>
      <c r="B149"/>
      <c r="C149"/>
      <c r="D149"/>
    </row>
    <row r="150" spans="1:4" s="17" customFormat="1" x14ac:dyDescent="0.75">
      <c r="A150"/>
      <c r="B150"/>
      <c r="C150"/>
      <c r="D150"/>
    </row>
    <row r="151" spans="1:4" s="17" customFormat="1" x14ac:dyDescent="0.75">
      <c r="A151"/>
      <c r="B151"/>
      <c r="C151"/>
      <c r="D151"/>
    </row>
    <row r="152" spans="1:4" s="17" customFormat="1" x14ac:dyDescent="0.75">
      <c r="A152"/>
      <c r="B152"/>
      <c r="C152"/>
      <c r="D152"/>
    </row>
    <row r="153" spans="1:4" s="17" customFormat="1" x14ac:dyDescent="0.75">
      <c r="A153"/>
      <c r="B153"/>
      <c r="C153"/>
      <c r="D153"/>
    </row>
    <row r="154" spans="1:4" s="17" customFormat="1" x14ac:dyDescent="0.75">
      <c r="A154"/>
      <c r="B154"/>
      <c r="C154"/>
      <c r="D154"/>
    </row>
    <row r="155" spans="1:4" s="17" customFormat="1" x14ac:dyDescent="0.75">
      <c r="A155"/>
      <c r="B155"/>
      <c r="C155"/>
      <c r="D155"/>
    </row>
    <row r="156" spans="1:4" s="17" customFormat="1" x14ac:dyDescent="0.75">
      <c r="A156"/>
      <c r="B156"/>
      <c r="C156"/>
      <c r="D156"/>
    </row>
    <row r="157" spans="1:4" s="17" customFormat="1" x14ac:dyDescent="0.75">
      <c r="A157"/>
      <c r="B157"/>
      <c r="C157"/>
      <c r="D157"/>
    </row>
    <row r="158" spans="1:4" s="17" customFormat="1" x14ac:dyDescent="0.75">
      <c r="A158"/>
      <c r="B158"/>
      <c r="C158"/>
      <c r="D158"/>
    </row>
    <row r="159" spans="1:4" s="17" customFormat="1" x14ac:dyDescent="0.75">
      <c r="A159"/>
      <c r="B159"/>
      <c r="C159"/>
      <c r="D159"/>
    </row>
    <row r="160" spans="1:4" s="17" customFormat="1" x14ac:dyDescent="0.75">
      <c r="A160"/>
      <c r="B160"/>
      <c r="C160"/>
      <c r="D160"/>
    </row>
    <row r="161" spans="1:4" s="17" customFormat="1" x14ac:dyDescent="0.75">
      <c r="A161"/>
      <c r="B161"/>
      <c r="C161"/>
      <c r="D161"/>
    </row>
    <row r="162" spans="1:4" s="17" customFormat="1" x14ac:dyDescent="0.75">
      <c r="A162"/>
      <c r="B162"/>
      <c r="C162"/>
      <c r="D162"/>
    </row>
    <row r="163" spans="1:4" s="17" customFormat="1" x14ac:dyDescent="0.75">
      <c r="A163"/>
      <c r="B163"/>
      <c r="C163"/>
      <c r="D163"/>
    </row>
    <row r="164" spans="1:4" s="17" customFormat="1" x14ac:dyDescent="0.75">
      <c r="A164"/>
      <c r="B164"/>
      <c r="C164"/>
      <c r="D164"/>
    </row>
    <row r="165" spans="1:4" s="17" customFormat="1" x14ac:dyDescent="0.75">
      <c r="A165"/>
      <c r="B165"/>
      <c r="C165"/>
      <c r="D165"/>
    </row>
    <row r="166" spans="1:4" s="17" customFormat="1" x14ac:dyDescent="0.75">
      <c r="A166"/>
      <c r="B166"/>
      <c r="C166"/>
      <c r="D166"/>
    </row>
    <row r="167" spans="1:4" s="17" customFormat="1" x14ac:dyDescent="0.75">
      <c r="A167"/>
      <c r="B167"/>
      <c r="C167"/>
      <c r="D167"/>
    </row>
    <row r="168" spans="1:4" s="17" customFormat="1" x14ac:dyDescent="0.75">
      <c r="A168"/>
      <c r="B168"/>
      <c r="C168"/>
      <c r="D168"/>
    </row>
    <row r="169" spans="1:4" s="17" customFormat="1" x14ac:dyDescent="0.75">
      <c r="A169"/>
      <c r="B169"/>
      <c r="C169"/>
      <c r="D169"/>
    </row>
    <row r="170" spans="1:4" s="17" customFormat="1" x14ac:dyDescent="0.75">
      <c r="A170"/>
      <c r="B170"/>
      <c r="C170"/>
      <c r="D170"/>
    </row>
    <row r="171" spans="1:4" s="17" customFormat="1" x14ac:dyDescent="0.75">
      <c r="A171"/>
      <c r="B171"/>
      <c r="C171"/>
      <c r="D171"/>
    </row>
    <row r="172" spans="1:4" s="17" customFormat="1" x14ac:dyDescent="0.75">
      <c r="A172"/>
      <c r="B172"/>
      <c r="C172"/>
      <c r="D172"/>
    </row>
    <row r="173" spans="1:4" s="17" customFormat="1" x14ac:dyDescent="0.75">
      <c r="A173"/>
      <c r="B173"/>
      <c r="C173"/>
      <c r="D173"/>
    </row>
    <row r="174" spans="1:4" s="17" customFormat="1" x14ac:dyDescent="0.75">
      <c r="A174"/>
      <c r="B174"/>
      <c r="C174"/>
      <c r="D174"/>
    </row>
    <row r="175" spans="1:4" s="17" customFormat="1" x14ac:dyDescent="0.75">
      <c r="A175"/>
      <c r="B175"/>
      <c r="C175"/>
      <c r="D175"/>
    </row>
    <row r="176" spans="1:4" s="17" customFormat="1" x14ac:dyDescent="0.75">
      <c r="A176"/>
      <c r="B176"/>
      <c r="C176"/>
      <c r="D176"/>
    </row>
    <row r="177" spans="1:4" s="17" customFormat="1" x14ac:dyDescent="0.75">
      <c r="A177"/>
      <c r="B177"/>
      <c r="C177"/>
      <c r="D177"/>
    </row>
    <row r="178" spans="1:4" s="17" customFormat="1" x14ac:dyDescent="0.75">
      <c r="A178"/>
      <c r="B178"/>
      <c r="C178"/>
      <c r="D178"/>
    </row>
    <row r="179" spans="1:4" s="17" customFormat="1" x14ac:dyDescent="0.75">
      <c r="A179"/>
      <c r="B179"/>
      <c r="C179"/>
      <c r="D179"/>
    </row>
    <row r="180" spans="1:4" s="17" customFormat="1" x14ac:dyDescent="0.75">
      <c r="A180"/>
      <c r="B180"/>
      <c r="C180"/>
      <c r="D180"/>
    </row>
    <row r="181" spans="1:4" s="17" customFormat="1" x14ac:dyDescent="0.75">
      <c r="A181"/>
      <c r="B181"/>
      <c r="C181"/>
      <c r="D181"/>
    </row>
    <row r="182" spans="1:4" s="17" customFormat="1" x14ac:dyDescent="0.75">
      <c r="A182"/>
      <c r="B182"/>
      <c r="C182"/>
      <c r="D182"/>
    </row>
    <row r="183" spans="1:4" s="17" customFormat="1" x14ac:dyDescent="0.75">
      <c r="A183"/>
      <c r="B183"/>
      <c r="C183"/>
      <c r="D183"/>
    </row>
    <row r="184" spans="1:4" s="17" customFormat="1" x14ac:dyDescent="0.75">
      <c r="A184"/>
      <c r="B184"/>
      <c r="C184"/>
      <c r="D184"/>
    </row>
    <row r="185" spans="1:4" s="17" customFormat="1" x14ac:dyDescent="0.75">
      <c r="A185"/>
      <c r="B185"/>
      <c r="C185"/>
      <c r="D185"/>
    </row>
    <row r="186" spans="1:4" s="17" customFormat="1" x14ac:dyDescent="0.75">
      <c r="A186"/>
      <c r="B186"/>
      <c r="C186"/>
      <c r="D186"/>
    </row>
    <row r="187" spans="1:4" s="17" customFormat="1" x14ac:dyDescent="0.75">
      <c r="A187"/>
      <c r="B187"/>
      <c r="C187"/>
      <c r="D187"/>
    </row>
    <row r="188" spans="1:4" s="17" customFormat="1" x14ac:dyDescent="0.75">
      <c r="A188"/>
      <c r="B188"/>
      <c r="C188"/>
      <c r="D188"/>
    </row>
    <row r="189" spans="1:4" s="17" customFormat="1" x14ac:dyDescent="0.75">
      <c r="A189"/>
      <c r="B189"/>
      <c r="C189"/>
      <c r="D189"/>
    </row>
    <row r="190" spans="1:4" s="17" customFormat="1" x14ac:dyDescent="0.75">
      <c r="A190"/>
      <c r="B190"/>
      <c r="C190"/>
      <c r="D190"/>
    </row>
    <row r="191" spans="1:4" s="17" customFormat="1" x14ac:dyDescent="0.75">
      <c r="A191"/>
      <c r="B191"/>
      <c r="C191"/>
      <c r="D191"/>
    </row>
    <row r="192" spans="1:4" s="17" customFormat="1" x14ac:dyDescent="0.75">
      <c r="A192"/>
      <c r="B192"/>
      <c r="C192"/>
      <c r="D192"/>
    </row>
    <row r="193" spans="1:4" s="17" customFormat="1" x14ac:dyDescent="0.75">
      <c r="A193"/>
      <c r="B193"/>
      <c r="C193"/>
      <c r="D193"/>
    </row>
    <row r="194" spans="1:4" s="17" customFormat="1" x14ac:dyDescent="0.75">
      <c r="A194"/>
      <c r="B194"/>
      <c r="C194"/>
      <c r="D194"/>
    </row>
    <row r="195" spans="1:4" s="17" customFormat="1" x14ac:dyDescent="0.75">
      <c r="A195"/>
      <c r="B195"/>
      <c r="C195"/>
      <c r="D195"/>
    </row>
    <row r="196" spans="1:4" s="17" customFormat="1" x14ac:dyDescent="0.75">
      <c r="A196"/>
      <c r="B196"/>
      <c r="C196"/>
      <c r="D196"/>
    </row>
    <row r="197" spans="1:4" s="17" customFormat="1" x14ac:dyDescent="0.75">
      <c r="A197"/>
      <c r="B197"/>
      <c r="C197"/>
      <c r="D197"/>
    </row>
    <row r="198" spans="1:4" s="17" customFormat="1" x14ac:dyDescent="0.75">
      <c r="A198"/>
      <c r="B198"/>
      <c r="C198"/>
      <c r="D198"/>
    </row>
    <row r="199" spans="1:4" s="17" customFormat="1" x14ac:dyDescent="0.75">
      <c r="A199"/>
      <c r="B199"/>
      <c r="C199"/>
      <c r="D199"/>
    </row>
    <row r="200" spans="1:4" s="17" customFormat="1" x14ac:dyDescent="0.75">
      <c r="A200"/>
      <c r="B200"/>
      <c r="C200"/>
      <c r="D200"/>
    </row>
    <row r="201" spans="1:4" s="17" customFormat="1" x14ac:dyDescent="0.75">
      <c r="A201"/>
      <c r="B201"/>
      <c r="C201"/>
      <c r="D201"/>
    </row>
    <row r="202" spans="1:4" s="17" customFormat="1" x14ac:dyDescent="0.75">
      <c r="A202"/>
      <c r="B202"/>
      <c r="C202"/>
      <c r="D202"/>
    </row>
    <row r="203" spans="1:4" s="17" customFormat="1" x14ac:dyDescent="0.75">
      <c r="A203"/>
      <c r="B203"/>
      <c r="C203"/>
      <c r="D203"/>
    </row>
    <row r="204" spans="1:4" s="17" customFormat="1" x14ac:dyDescent="0.75">
      <c r="A204"/>
      <c r="B204"/>
      <c r="C204"/>
      <c r="D204"/>
    </row>
    <row r="205" spans="1:4" s="17" customFormat="1" x14ac:dyDescent="0.75">
      <c r="A205"/>
      <c r="B205"/>
      <c r="C205"/>
      <c r="D205"/>
    </row>
    <row r="206" spans="1:4" s="17" customFormat="1" x14ac:dyDescent="0.75">
      <c r="A206"/>
      <c r="B206"/>
      <c r="C206"/>
      <c r="D206"/>
    </row>
    <row r="207" spans="1:4" s="17" customFormat="1" x14ac:dyDescent="0.75">
      <c r="A207"/>
      <c r="B207"/>
      <c r="C207"/>
      <c r="D207"/>
    </row>
    <row r="208" spans="1:4" s="17" customFormat="1" x14ac:dyDescent="0.75">
      <c r="A208"/>
      <c r="B208"/>
      <c r="C208"/>
      <c r="D208"/>
    </row>
    <row r="209" spans="1:4" s="17" customFormat="1" x14ac:dyDescent="0.75">
      <c r="A209"/>
      <c r="B209"/>
      <c r="C209"/>
      <c r="D209"/>
    </row>
    <row r="210" spans="1:4" s="17" customFormat="1" x14ac:dyDescent="0.75">
      <c r="A210"/>
      <c r="B210"/>
      <c r="C210"/>
      <c r="D210"/>
    </row>
    <row r="211" spans="1:4" s="17" customFormat="1" x14ac:dyDescent="0.75">
      <c r="A211"/>
      <c r="B211"/>
      <c r="C211"/>
      <c r="D211"/>
    </row>
    <row r="212" spans="1:4" s="17" customFormat="1" x14ac:dyDescent="0.75">
      <c r="A212"/>
      <c r="B212"/>
      <c r="C212"/>
      <c r="D212"/>
    </row>
    <row r="213" spans="1:4" s="17" customFormat="1" x14ac:dyDescent="0.75">
      <c r="A213"/>
      <c r="B213"/>
      <c r="C213"/>
      <c r="D213"/>
    </row>
    <row r="214" spans="1:4" s="17" customFormat="1" x14ac:dyDescent="0.75">
      <c r="A214"/>
      <c r="B214"/>
      <c r="C214"/>
      <c r="D214"/>
    </row>
    <row r="215" spans="1:4" s="17" customFormat="1" x14ac:dyDescent="0.75">
      <c r="A215"/>
      <c r="B215"/>
      <c r="C215"/>
      <c r="D215"/>
    </row>
    <row r="216" spans="1:4" s="17" customFormat="1" x14ac:dyDescent="0.75">
      <c r="A216"/>
      <c r="B216"/>
      <c r="C216"/>
      <c r="D216"/>
    </row>
    <row r="217" spans="1:4" s="17" customFormat="1" x14ac:dyDescent="0.75">
      <c r="A217"/>
      <c r="B217"/>
      <c r="C217"/>
      <c r="D217"/>
    </row>
    <row r="218" spans="1:4" s="17" customFormat="1" x14ac:dyDescent="0.75">
      <c r="A218"/>
      <c r="B218"/>
      <c r="C218"/>
      <c r="D218"/>
    </row>
    <row r="219" spans="1:4" s="17" customFormat="1" x14ac:dyDescent="0.75">
      <c r="A219"/>
      <c r="B219"/>
      <c r="C219"/>
      <c r="D219"/>
    </row>
    <row r="220" spans="1:4" s="17" customFormat="1" x14ac:dyDescent="0.75">
      <c r="A220"/>
      <c r="B220"/>
      <c r="C220"/>
      <c r="D220"/>
    </row>
    <row r="221" spans="1:4" s="17" customFormat="1" x14ac:dyDescent="0.75">
      <c r="A221"/>
      <c r="B221"/>
      <c r="C221"/>
      <c r="D221"/>
    </row>
    <row r="222" spans="1:4" s="17" customFormat="1" x14ac:dyDescent="0.75">
      <c r="A222"/>
      <c r="B222"/>
      <c r="C222"/>
      <c r="D222"/>
    </row>
    <row r="223" spans="1:4" s="17" customFormat="1" x14ac:dyDescent="0.75">
      <c r="A223"/>
      <c r="B223"/>
      <c r="C223"/>
      <c r="D223"/>
    </row>
    <row r="224" spans="1:4" s="17" customFormat="1" x14ac:dyDescent="0.75">
      <c r="A224"/>
      <c r="B224"/>
      <c r="C224"/>
      <c r="D224"/>
    </row>
    <row r="225" spans="1:4" s="17" customFormat="1" x14ac:dyDescent="0.75">
      <c r="A225"/>
      <c r="B225"/>
      <c r="C225"/>
      <c r="D225"/>
    </row>
    <row r="226" spans="1:4" s="17" customFormat="1" x14ac:dyDescent="0.75">
      <c r="A226"/>
      <c r="B226"/>
      <c r="C226"/>
      <c r="D226"/>
    </row>
    <row r="227" spans="1:4" s="17" customFormat="1" x14ac:dyDescent="0.75">
      <c r="A227"/>
      <c r="B227"/>
      <c r="C227"/>
      <c r="D227"/>
    </row>
    <row r="228" spans="1:4" s="17" customFormat="1" x14ac:dyDescent="0.75">
      <c r="A228"/>
      <c r="B228"/>
      <c r="C228"/>
      <c r="D228"/>
    </row>
    <row r="229" spans="1:4" s="17" customFormat="1" x14ac:dyDescent="0.75">
      <c r="A229"/>
      <c r="B229"/>
      <c r="C229"/>
      <c r="D229"/>
    </row>
    <row r="230" spans="1:4" s="17" customFormat="1" x14ac:dyDescent="0.75">
      <c r="A230"/>
      <c r="B230"/>
      <c r="C230"/>
      <c r="D230"/>
    </row>
    <row r="231" spans="1:4" s="17" customFormat="1" x14ac:dyDescent="0.75">
      <c r="A231"/>
      <c r="B231"/>
      <c r="C231"/>
      <c r="D231"/>
    </row>
    <row r="232" spans="1:4" s="17" customFormat="1" x14ac:dyDescent="0.75">
      <c r="A232"/>
      <c r="B232"/>
      <c r="C232"/>
      <c r="D232"/>
    </row>
    <row r="233" spans="1:4" s="17" customFormat="1" x14ac:dyDescent="0.75">
      <c r="A233"/>
      <c r="B233"/>
      <c r="C233"/>
      <c r="D233"/>
    </row>
    <row r="234" spans="1:4" s="17" customFormat="1" x14ac:dyDescent="0.75">
      <c r="A234"/>
      <c r="B234"/>
      <c r="C234"/>
      <c r="D234"/>
    </row>
    <row r="235" spans="1:4" s="17" customFormat="1" x14ac:dyDescent="0.75">
      <c r="A235"/>
      <c r="B235"/>
      <c r="C235"/>
      <c r="D235"/>
    </row>
    <row r="236" spans="1:4" s="17" customFormat="1" x14ac:dyDescent="0.75">
      <c r="A236"/>
      <c r="B236"/>
      <c r="C236"/>
      <c r="D236"/>
    </row>
    <row r="237" spans="1:4" s="17" customFormat="1" x14ac:dyDescent="0.75">
      <c r="A237"/>
      <c r="B237"/>
      <c r="C237"/>
      <c r="D237"/>
    </row>
    <row r="238" spans="1:4" s="17" customFormat="1" x14ac:dyDescent="0.75">
      <c r="A238"/>
      <c r="B238"/>
      <c r="C238"/>
      <c r="D238"/>
    </row>
    <row r="239" spans="1:4" s="17" customFormat="1" x14ac:dyDescent="0.75">
      <c r="A239"/>
      <c r="B239"/>
      <c r="C239"/>
      <c r="D239"/>
    </row>
    <row r="240" spans="1:4" s="17" customFormat="1" x14ac:dyDescent="0.75">
      <c r="A240"/>
      <c r="B240"/>
      <c r="C240"/>
      <c r="D240"/>
    </row>
    <row r="241" spans="1:4" s="17" customFormat="1" x14ac:dyDescent="0.75">
      <c r="A241"/>
      <c r="B241"/>
      <c r="C241"/>
      <c r="D241"/>
    </row>
    <row r="242" spans="1:4" s="17" customFormat="1" x14ac:dyDescent="0.75">
      <c r="A242"/>
      <c r="B242"/>
      <c r="C242"/>
      <c r="D242"/>
    </row>
    <row r="243" spans="1:4" s="17" customFormat="1" x14ac:dyDescent="0.75">
      <c r="A243"/>
      <c r="B243"/>
      <c r="C243"/>
      <c r="D243"/>
    </row>
    <row r="244" spans="1:4" s="17" customFormat="1" x14ac:dyDescent="0.75">
      <c r="A244"/>
      <c r="B244"/>
      <c r="C244"/>
      <c r="D244"/>
    </row>
    <row r="245" spans="1:4" s="17" customFormat="1" x14ac:dyDescent="0.75">
      <c r="A245"/>
      <c r="B245"/>
      <c r="C245"/>
      <c r="D245"/>
    </row>
    <row r="246" spans="1:4" s="17" customFormat="1" x14ac:dyDescent="0.75">
      <c r="A246"/>
      <c r="B246"/>
      <c r="C246"/>
      <c r="D246"/>
    </row>
    <row r="247" spans="1:4" s="17" customFormat="1" x14ac:dyDescent="0.75">
      <c r="A247"/>
      <c r="B247"/>
      <c r="C247"/>
      <c r="D247"/>
    </row>
    <row r="248" spans="1:4" s="17" customFormat="1" x14ac:dyDescent="0.75">
      <c r="A248"/>
      <c r="B248"/>
      <c r="C248"/>
      <c r="D248"/>
    </row>
    <row r="249" spans="1:4" s="17" customFormat="1" x14ac:dyDescent="0.75">
      <c r="A249"/>
      <c r="B249"/>
      <c r="C249"/>
      <c r="D249"/>
    </row>
    <row r="250" spans="1:4" s="17" customFormat="1" x14ac:dyDescent="0.75">
      <c r="A250"/>
      <c r="B250"/>
      <c r="C250"/>
      <c r="D250"/>
    </row>
    <row r="251" spans="1:4" s="17" customFormat="1" x14ac:dyDescent="0.75">
      <c r="A251"/>
      <c r="B251"/>
      <c r="C251"/>
      <c r="D251"/>
    </row>
    <row r="252" spans="1:4" s="17" customFormat="1" x14ac:dyDescent="0.75">
      <c r="A252"/>
      <c r="B252"/>
      <c r="C252"/>
      <c r="D252"/>
    </row>
    <row r="253" spans="1:4" s="17" customFormat="1" x14ac:dyDescent="0.75">
      <c r="A253"/>
      <c r="B253"/>
      <c r="C253"/>
      <c r="D253"/>
    </row>
    <row r="254" spans="1:4" s="17" customFormat="1" x14ac:dyDescent="0.75">
      <c r="A254"/>
      <c r="B254"/>
      <c r="C254"/>
      <c r="D254"/>
    </row>
    <row r="255" spans="1:4" s="17" customFormat="1" x14ac:dyDescent="0.75">
      <c r="A255"/>
      <c r="B255"/>
      <c r="C255"/>
      <c r="D255"/>
    </row>
    <row r="256" spans="1:4" s="17" customFormat="1" x14ac:dyDescent="0.75">
      <c r="A256"/>
      <c r="B256"/>
      <c r="C256"/>
      <c r="D256"/>
    </row>
    <row r="257" spans="1:4" s="17" customFormat="1" x14ac:dyDescent="0.75">
      <c r="A257"/>
      <c r="B257"/>
      <c r="C257"/>
      <c r="D257"/>
    </row>
    <row r="258" spans="1:4" s="17" customFormat="1" x14ac:dyDescent="0.75">
      <c r="A258"/>
      <c r="B258"/>
      <c r="C258"/>
      <c r="D258"/>
    </row>
    <row r="259" spans="1:4" s="17" customFormat="1" x14ac:dyDescent="0.75">
      <c r="A259"/>
      <c r="B259"/>
      <c r="C259"/>
      <c r="D259"/>
    </row>
    <row r="260" spans="1:4" s="17" customFormat="1" x14ac:dyDescent="0.75">
      <c r="A260"/>
      <c r="B260"/>
      <c r="C260"/>
      <c r="D260"/>
    </row>
    <row r="261" spans="1:4" s="17" customFormat="1" x14ac:dyDescent="0.75">
      <c r="A261"/>
      <c r="B261"/>
      <c r="C261"/>
      <c r="D261"/>
    </row>
    <row r="262" spans="1:4" s="17" customFormat="1" x14ac:dyDescent="0.75">
      <c r="A262"/>
      <c r="B262"/>
      <c r="C262"/>
      <c r="D262"/>
    </row>
    <row r="263" spans="1:4" s="17" customFormat="1" x14ac:dyDescent="0.75">
      <c r="A263"/>
      <c r="B263"/>
      <c r="C263"/>
      <c r="D263"/>
    </row>
    <row r="264" spans="1:4" s="17" customFormat="1" x14ac:dyDescent="0.75">
      <c r="A264"/>
      <c r="B264"/>
      <c r="C264"/>
      <c r="D264"/>
    </row>
    <row r="265" spans="1:4" s="17" customFormat="1" x14ac:dyDescent="0.75">
      <c r="A265"/>
      <c r="B265"/>
      <c r="C265"/>
      <c r="D265"/>
    </row>
    <row r="266" spans="1:4" s="17" customFormat="1" x14ac:dyDescent="0.75">
      <c r="A266"/>
      <c r="B266"/>
      <c r="C266"/>
      <c r="D266"/>
    </row>
    <row r="267" spans="1:4" s="17" customFormat="1" x14ac:dyDescent="0.75">
      <c r="A267"/>
      <c r="B267"/>
      <c r="C267"/>
      <c r="D267"/>
    </row>
    <row r="268" spans="1:4" s="17" customFormat="1" x14ac:dyDescent="0.75">
      <c r="A268"/>
      <c r="B268"/>
      <c r="C268"/>
      <c r="D268"/>
    </row>
    <row r="269" spans="1:4" s="17" customFormat="1" x14ac:dyDescent="0.75">
      <c r="A269"/>
      <c r="B269"/>
      <c r="C269"/>
      <c r="D269"/>
    </row>
    <row r="270" spans="1:4" s="17" customFormat="1" x14ac:dyDescent="0.75">
      <c r="A270"/>
      <c r="B270"/>
      <c r="C270"/>
      <c r="D270"/>
    </row>
    <row r="271" spans="1:4" s="17" customFormat="1" x14ac:dyDescent="0.75">
      <c r="A271"/>
      <c r="B271"/>
      <c r="C271"/>
      <c r="D271"/>
    </row>
    <row r="272" spans="1:4" s="17" customFormat="1" x14ac:dyDescent="0.75">
      <c r="A272"/>
      <c r="B272"/>
      <c r="C272"/>
      <c r="D272"/>
    </row>
    <row r="273" spans="1:4" s="17" customFormat="1" x14ac:dyDescent="0.75">
      <c r="A273"/>
      <c r="B273"/>
      <c r="C273"/>
      <c r="D273"/>
    </row>
    <row r="274" spans="1:4" s="17" customFormat="1" x14ac:dyDescent="0.75">
      <c r="A274"/>
      <c r="B274"/>
      <c r="C274"/>
      <c r="D274"/>
    </row>
    <row r="275" spans="1:4" s="17" customFormat="1" x14ac:dyDescent="0.75">
      <c r="A275"/>
      <c r="B275"/>
      <c r="C275"/>
      <c r="D275"/>
    </row>
    <row r="276" spans="1:4" s="17" customFormat="1" x14ac:dyDescent="0.75">
      <c r="A276"/>
      <c r="B276"/>
      <c r="C276"/>
      <c r="D276"/>
    </row>
    <row r="277" spans="1:4" s="17" customFormat="1" x14ac:dyDescent="0.75">
      <c r="A277"/>
      <c r="B277"/>
      <c r="C277"/>
      <c r="D277"/>
    </row>
    <row r="278" spans="1:4" s="17" customFormat="1" x14ac:dyDescent="0.75">
      <c r="A278"/>
      <c r="B278"/>
      <c r="C278"/>
      <c r="D278"/>
    </row>
    <row r="279" spans="1:4" s="17" customFormat="1" x14ac:dyDescent="0.75">
      <c r="A279"/>
      <c r="B279"/>
      <c r="C279"/>
      <c r="D279"/>
    </row>
    <row r="280" spans="1:4" s="17" customFormat="1" x14ac:dyDescent="0.75">
      <c r="A280"/>
      <c r="B280"/>
      <c r="C280"/>
      <c r="D280"/>
    </row>
    <row r="281" spans="1:4" s="17" customFormat="1" x14ac:dyDescent="0.75">
      <c r="A281"/>
      <c r="B281"/>
      <c r="C281"/>
      <c r="D281"/>
    </row>
    <row r="282" spans="1:4" s="17" customFormat="1" x14ac:dyDescent="0.75">
      <c r="A282"/>
      <c r="B282"/>
      <c r="C282"/>
      <c r="D282"/>
    </row>
    <row r="283" spans="1:4" s="17" customFormat="1" x14ac:dyDescent="0.75">
      <c r="A283"/>
      <c r="B283"/>
      <c r="C283"/>
      <c r="D283"/>
    </row>
    <row r="284" spans="1:4" s="17" customFormat="1" x14ac:dyDescent="0.75">
      <c r="A284"/>
      <c r="B284"/>
      <c r="C284"/>
      <c r="D284"/>
    </row>
    <row r="285" spans="1:4" s="17" customFormat="1" x14ac:dyDescent="0.75">
      <c r="A285"/>
      <c r="B285"/>
      <c r="C285"/>
      <c r="D285"/>
    </row>
    <row r="286" spans="1:4" s="17" customFormat="1" x14ac:dyDescent="0.75">
      <c r="A286"/>
      <c r="B286"/>
      <c r="C286"/>
      <c r="D286"/>
    </row>
    <row r="287" spans="1:4" s="17" customFormat="1" x14ac:dyDescent="0.75">
      <c r="A287"/>
      <c r="B287"/>
      <c r="C287"/>
      <c r="D287"/>
    </row>
    <row r="288" spans="1:4" s="17" customFormat="1" x14ac:dyDescent="0.75">
      <c r="A288"/>
      <c r="B288"/>
      <c r="C288"/>
      <c r="D288"/>
    </row>
    <row r="289" spans="1:4" s="17" customFormat="1" x14ac:dyDescent="0.75">
      <c r="A289"/>
      <c r="B289"/>
      <c r="C289"/>
      <c r="D289"/>
    </row>
    <row r="290" spans="1:4" s="17" customFormat="1" x14ac:dyDescent="0.75">
      <c r="A290"/>
      <c r="B290"/>
      <c r="C290"/>
      <c r="D290"/>
    </row>
    <row r="291" spans="1:4" s="17" customFormat="1" x14ac:dyDescent="0.75">
      <c r="A291"/>
      <c r="B291"/>
      <c r="C291"/>
      <c r="D291"/>
    </row>
    <row r="292" spans="1:4" s="17" customFormat="1" x14ac:dyDescent="0.75">
      <c r="A292"/>
      <c r="B292"/>
      <c r="C292"/>
      <c r="D292"/>
    </row>
    <row r="293" spans="1:4" s="17" customFormat="1" x14ac:dyDescent="0.75">
      <c r="A293"/>
      <c r="B293"/>
      <c r="C293"/>
      <c r="D293"/>
    </row>
    <row r="294" spans="1:4" s="17" customFormat="1" x14ac:dyDescent="0.75">
      <c r="A294"/>
      <c r="B294"/>
      <c r="C294"/>
      <c r="D294"/>
    </row>
    <row r="295" spans="1:4" s="17" customFormat="1" x14ac:dyDescent="0.75">
      <c r="A295"/>
      <c r="B295"/>
      <c r="C295"/>
      <c r="D295"/>
    </row>
    <row r="296" spans="1:4" s="17" customFormat="1" x14ac:dyDescent="0.75">
      <c r="A296"/>
      <c r="B296"/>
      <c r="C296"/>
      <c r="D296"/>
    </row>
    <row r="297" spans="1:4" s="17" customFormat="1" x14ac:dyDescent="0.75">
      <c r="A297"/>
      <c r="B297"/>
      <c r="C297"/>
      <c r="D297"/>
    </row>
    <row r="298" spans="1:4" s="17" customFormat="1" x14ac:dyDescent="0.75">
      <c r="A298"/>
      <c r="B298"/>
      <c r="C298"/>
      <c r="D298"/>
    </row>
    <row r="299" spans="1:4" s="17" customFormat="1" x14ac:dyDescent="0.75">
      <c r="A299"/>
      <c r="B299"/>
      <c r="C299"/>
      <c r="D299"/>
    </row>
    <row r="300" spans="1:4" s="17" customFormat="1" x14ac:dyDescent="0.75">
      <c r="A300"/>
      <c r="B300"/>
      <c r="C300"/>
      <c r="D300"/>
    </row>
    <row r="301" spans="1:4" s="17" customFormat="1" x14ac:dyDescent="0.75">
      <c r="A301"/>
      <c r="B301"/>
      <c r="C301"/>
      <c r="D301"/>
    </row>
    <row r="302" spans="1:4" s="17" customFormat="1" x14ac:dyDescent="0.75">
      <c r="A302"/>
      <c r="B302"/>
      <c r="C302"/>
      <c r="D302"/>
    </row>
    <row r="303" spans="1:4" s="17" customFormat="1" x14ac:dyDescent="0.75">
      <c r="A303"/>
      <c r="B303"/>
      <c r="C303"/>
      <c r="D303"/>
    </row>
    <row r="304" spans="1:4" s="17" customFormat="1" x14ac:dyDescent="0.75">
      <c r="A304"/>
      <c r="B304"/>
      <c r="C304"/>
      <c r="D304"/>
    </row>
    <row r="305" spans="1:4" s="17" customFormat="1" x14ac:dyDescent="0.75">
      <c r="A305"/>
      <c r="B305"/>
      <c r="C305"/>
      <c r="D305"/>
    </row>
    <row r="306" spans="1:4" s="17" customFormat="1" x14ac:dyDescent="0.75">
      <c r="A306"/>
      <c r="B306"/>
      <c r="C306"/>
      <c r="D306"/>
    </row>
    <row r="307" spans="1:4" s="17" customFormat="1" x14ac:dyDescent="0.75">
      <c r="A307"/>
      <c r="B307"/>
      <c r="C307"/>
      <c r="D307"/>
    </row>
    <row r="308" spans="1:4" s="17" customFormat="1" x14ac:dyDescent="0.75">
      <c r="A308"/>
      <c r="B308"/>
      <c r="C308"/>
      <c r="D308"/>
    </row>
    <row r="309" spans="1:4" s="17" customFormat="1" x14ac:dyDescent="0.75">
      <c r="A309"/>
      <c r="B309"/>
      <c r="C309"/>
      <c r="D309"/>
    </row>
    <row r="310" spans="1:4" s="17" customFormat="1" x14ac:dyDescent="0.75">
      <c r="A310"/>
      <c r="B310"/>
      <c r="C310"/>
      <c r="D310"/>
    </row>
    <row r="311" spans="1:4" s="17" customFormat="1" x14ac:dyDescent="0.75">
      <c r="A311"/>
      <c r="B311"/>
      <c r="C311"/>
      <c r="D311"/>
    </row>
    <row r="312" spans="1:4" s="17" customFormat="1" x14ac:dyDescent="0.75">
      <c r="A312"/>
      <c r="B312"/>
      <c r="C312"/>
      <c r="D312"/>
    </row>
    <row r="313" spans="1:4" s="17" customFormat="1" x14ac:dyDescent="0.75">
      <c r="A313"/>
      <c r="B313"/>
      <c r="C313"/>
      <c r="D313"/>
    </row>
    <row r="314" spans="1:4" s="17" customFormat="1" x14ac:dyDescent="0.75">
      <c r="A314"/>
      <c r="B314"/>
      <c r="C314"/>
      <c r="D314"/>
    </row>
    <row r="315" spans="1:4" s="17" customFormat="1" x14ac:dyDescent="0.75">
      <c r="A315"/>
      <c r="B315"/>
      <c r="C315"/>
      <c r="D315"/>
    </row>
  </sheetData>
  <mergeCells count="7">
    <mergeCell ref="E8:F8"/>
    <mergeCell ref="E4:F4"/>
    <mergeCell ref="I4:J4"/>
    <mergeCell ref="E5:F5"/>
    <mergeCell ref="I5:J5"/>
    <mergeCell ref="E6:F6"/>
    <mergeCell ref="E7:F7"/>
  </mergeCells>
  <conditionalFormatting sqref="D14:AH202">
    <cfRule type="expression" dxfId="0" priority="1">
      <formula>TEXT(D$14, "ddd")="Sun"</formula>
    </cfRule>
  </conditionalFormatting>
  <dataValidations count="1">
    <dataValidation type="list" allowBlank="1" showInputMessage="1" showErrorMessage="1" sqref="C4" xr:uid="{59BDA890-CDC3-4A08-9C25-D11F3787120E}">
      <formula1>$A$1:$A$12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3AC0F-9183-4714-B5FA-65BACC5AC294}">
  <sheetPr codeName="Sheet4"/>
  <dimension ref="A1"/>
  <sheetViews>
    <sheetView workbookViewId="0">
      <selection activeCell="K14" sqref="K14"/>
    </sheetView>
  </sheetViews>
  <sheetFormatPr defaultRowHeight="14.75" x14ac:dyDescent="0.75"/>
  <cols>
    <col min="1" max="16384" width="8.7265625" style="64"/>
  </cols>
  <sheetData>
    <row r="1" spans="1:1" x14ac:dyDescent="0.75">
      <c r="A1" s="64" t="s">
        <v>102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Roster</vt:lpstr>
      <vt:lpstr>StaffAvailability</vt:lpstr>
      <vt:lpstr>Leave Planner</vt:lpstr>
      <vt:lpstr>Update Competency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 Leng Tan</dc:creator>
  <cp:lastModifiedBy>Jia Leng Tan</cp:lastModifiedBy>
  <dcterms:created xsi:type="dcterms:W3CDTF">2022-03-12T10:29:35Z</dcterms:created>
  <dcterms:modified xsi:type="dcterms:W3CDTF">2022-03-23T07:20:50Z</dcterms:modified>
</cp:coreProperties>
</file>